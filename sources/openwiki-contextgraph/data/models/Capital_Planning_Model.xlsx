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Baseline_Projection" sheetId="4" state="visible" r:id="rId6"/>
    <sheet name="Stress_Proj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D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E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F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G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H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I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J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  <comment ref="K15" authorId="0">
      <text>
        <r>
          <rPr>
            <sz val="10"/>
            <rFont val="Arial"/>
            <family val="2"/>
          </rPr>
          <t xml:space="preserve">Buybacks suspended under stress (CCAR convention).</t>
        </r>
      </text>
    </comment>
  </commentList>
</comments>
</file>

<file path=xl/sharedStrings.xml><?xml version="1.0" encoding="utf-8"?>
<sst xmlns="http://schemas.openxmlformats.org/spreadsheetml/2006/main" count="197" uniqueCount="157">
  <si>
    <t xml:space="preserve">Capital Planning &amp; Stress Projection Model  (MDL-CAP-003)</t>
  </si>
  <si>
    <t xml:space="preserve">Meridian Harbor Financial Corp. - model documentation sheet</t>
  </si>
  <si>
    <t xml:space="preserve">SYNTHETIC DOCUMENT FOR A PROOF OF CONCEPT. Meridian Harbor Financial Corp. is a fictional institution. All names, figures and events are invented and do not describe any real company.</t>
  </si>
  <si>
    <t xml:space="preserve">Model ID</t>
  </si>
  <si>
    <t xml:space="preserve">MDL-CAP-003</t>
  </si>
  <si>
    <t xml:space="preserve">Model name</t>
  </si>
  <si>
    <t xml:space="preserve">Capital Planning &amp; Stress Projection Model</t>
  </si>
  <si>
    <t xml:space="preserve">Risk tier</t>
  </si>
  <si>
    <t xml:space="preserve">Tier 1 (High)</t>
  </si>
  <si>
    <t xml:space="preserve">Model owner</t>
  </si>
  <si>
    <t xml:space="preserve">Corporate Treasury - Capital Management</t>
  </si>
  <si>
    <t xml:space="preserve">Independent validator</t>
  </si>
  <si>
    <t xml:space="preserve">Model Risk Governance &amp; Review (MRGR)</t>
  </si>
  <si>
    <t xml:space="preserve">Last validation</t>
  </si>
  <si>
    <t xml:space="preserve">2026-02-27</t>
  </si>
  <si>
    <t xml:space="preserve">Next validation due</t>
  </si>
  <si>
    <t xml:space="preserve">2027-02-28</t>
  </si>
  <si>
    <t xml:space="preserve">Purpose</t>
  </si>
  <si>
    <t xml:space="preserve">Projects CET1 capital, RWA and capital ratios over a nine-quarter horizon under baseline and severely adverse scenarios to size distributions.</t>
  </si>
  <si>
    <t xml:space="preserve">Upstream data feeds (APIs)</t>
  </si>
  <si>
    <t xml:space="preserve">API-16 Regulatory Reporting API; API-14 Macroeconomic Scenario API; API-15 Treasury Liquidity Positions API</t>
  </si>
  <si>
    <t xml:space="preserve">Downstream disclosures</t>
  </si>
  <si>
    <t xml:space="preserve">Annual Report - Capital Risk Management; Pillar 3 - Capital Planning and Stress Testing</t>
  </si>
  <si>
    <t xml:space="preserve">Units</t>
  </si>
  <si>
    <t xml:space="preserve">USD millions unless stated otherwise; rates stored as decimals</t>
  </si>
  <si>
    <t xml:space="preserve">As-of date</t>
  </si>
  <si>
    <t xml:space="preserve">See Assumptions sheet</t>
  </si>
  <si>
    <t xml:space="preserve">Sheets</t>
  </si>
  <si>
    <t xml:space="preserve">Assumptions</t>
  </si>
  <si>
    <t xml:space="preserve">Starting capital position (Q2 2026), distribution plan, growth and requirement stack.</t>
  </si>
  <si>
    <t xml:space="preserve">Baseline_Projection</t>
  </si>
  <si>
    <t xml:space="preserve">Nine-quarter CET1 projection under the firm's baseline plan.</t>
  </si>
  <si>
    <t xml:space="preserve">Stress_Projection</t>
  </si>
  <si>
    <t xml:space="preserve">Nine-quarter projection under the severely adverse scenario.</t>
  </si>
  <si>
    <t xml:space="preserve">Summary</t>
  </si>
  <si>
    <t xml:space="preserve">Minimum ratios, capital headroom and an indicative stress capital buffer (SCB).</t>
  </si>
  <si>
    <t xml:space="preserve">How the model works</t>
  </si>
  <si>
    <t xml:space="preserve">1.</t>
  </si>
  <si>
    <t xml:space="preserve">CET1(t) = CET1(t-1) + net income - preferred dividends - common dividends - share repurchases + other CET1 movements.</t>
  </si>
  <si>
    <t xml:space="preserve">2.</t>
  </si>
  <si>
    <t xml:space="preserve">Common dividends = shares outstanding x dividend per share; shares fall by buyback dollars / assumed share price.</t>
  </si>
  <si>
    <t xml:space="preserve">3.</t>
  </si>
  <si>
    <t xml:space="preserve">RWA(t) = RWA(t-1) x (1 + quarterly growth).</t>
  </si>
  <si>
    <t xml:space="preserve">4.</t>
  </si>
  <si>
    <t xml:space="preserve">Stress: pre-tax income = PPNR - provisions - trading &amp; counterparty losses; tax at the effective rate (tax benefit recognised on losses); buybacks suspended; dividends held flat.</t>
  </si>
  <si>
    <t xml:space="preserve">5.</t>
  </si>
  <si>
    <t xml:space="preserve">Indicative SCB = start CET1 ratio - minimum stressed CET1 ratio + four quarters of planned dividends / starting RWA, floored at 2.5%.</t>
  </si>
  <si>
    <t xml:space="preserve">Key inputs</t>
  </si>
  <si>
    <t xml:space="preserve">Starting CET1 capital and RWA from API-16 Regulatory Reporting API (FR Y-9C / FFIEC 101 extract).</t>
  </si>
  <si>
    <t xml:space="preserve">Scenario paths from API-14 Macroeconomic Scenario API (severely adverse, CCAR 2026 analogue).</t>
  </si>
  <si>
    <t xml:space="preserve">Liquidity constraints on distributions cross-checked against API-15 Treasury Liquidity Positions API.</t>
  </si>
  <si>
    <t xml:space="preserve">Distribution plan (dividends, buybacks) approved by the Board Capital Committee.</t>
  </si>
  <si>
    <t xml:space="preserve">Key outputs</t>
  </si>
  <si>
    <t xml:space="preserve">Quarter-end CET1 ratio path versus management target and regulatory requirement.</t>
  </si>
  <si>
    <t xml:space="preserve">Minimum stressed CET1 ratio and indicative SCB.</t>
  </si>
  <si>
    <t xml:space="preserve">Capacity for additional buybacks at the management target.</t>
  </si>
  <si>
    <t xml:space="preserve">Limits, controls and known limitations</t>
  </si>
  <si>
    <t xml:space="preserve">Management target CET1 ratio: 13.0%; regulatory requirement = 4.5% + SCB + G-SIB surcharge.</t>
  </si>
  <si>
    <t xml:space="preserve">Simplified: no AOCI volatility modelling, no deferred-tax-asset threshold deductions.</t>
  </si>
  <si>
    <t xml:space="preserve">Stress losses are top-down inputs supplied by the enterprise stress testing program.</t>
  </si>
  <si>
    <t xml:space="preserve">Colour legend</t>
  </si>
  <si>
    <t xml:space="preserve">Blue text = hard-coded input / scenario lever</t>
  </si>
  <si>
    <t xml:space="preserve">Black text = formula</t>
  </si>
  <si>
    <t xml:space="preserve">Green text = link to another sheet</t>
  </si>
  <si>
    <t xml:space="preserve">Yellow fill = key assumption</t>
  </si>
  <si>
    <t xml:space="preserve">Capital Planning Summary</t>
  </si>
  <si>
    <t xml:space="preserve">Feeds Annual Report (Capital Risk Management) and Pillar 3 (stress testing)</t>
  </si>
  <si>
    <t xml:space="preserve">Metric</t>
  </si>
  <si>
    <t xml:space="preserve">Value</t>
  </si>
  <si>
    <t xml:space="preserve">Note</t>
  </si>
  <si>
    <t xml:space="preserve">Starting CET1 ratio (Q2 2026)</t>
  </si>
  <si>
    <t xml:space="preserve">Ending CET1 ratio - baseline (Q3 2028)</t>
  </si>
  <si>
    <t xml:space="preserve">Minimum CET1 ratio - baseline</t>
  </si>
  <si>
    <t xml:space="preserve">Minimum CET1 ratio - severely adverse</t>
  </si>
  <si>
    <t xml:space="preserve">Peak-to-trough CET1 decline (stress)</t>
  </si>
  <si>
    <t xml:space="preserve">Starting ratio minus minimum stressed ratio</t>
  </si>
  <si>
    <t xml:space="preserve">Four quarters of planned dividends / starting RWA</t>
  </si>
  <si>
    <t xml:space="preserve">Dividend add-on in SCB formula</t>
  </si>
  <si>
    <t xml:space="preserve">Indicative stress capital buffer (SCB)</t>
  </si>
  <si>
    <t xml:space="preserve">Floored at 2.5%</t>
  </si>
  <si>
    <t xml:space="preserve">Regulatory CET1 requirement (current SCB)</t>
  </si>
  <si>
    <t xml:space="preserve">4.5% + SCB + G-SIB surcharge</t>
  </si>
  <si>
    <t xml:space="preserve">Regulatory CET1 requirement (indicative SCB)</t>
  </si>
  <si>
    <t xml:space="preserve">Management target</t>
  </si>
  <si>
    <t xml:space="preserve">Cumulative buybacks over horizon ($mm)</t>
  </si>
  <si>
    <t xml:space="preserve">Excess CET1 vs target at Q3 2028 ($mm)</t>
  </si>
  <si>
    <t xml:space="preserve">Additional distribution capacity at the target</t>
  </si>
  <si>
    <t xml:space="preserve">Stress minimum above requirement?</t>
  </si>
  <si>
    <t xml:space="preserve">Starting point: Q2 2026 actuals</t>
  </si>
  <si>
    <t xml:space="preserve">Assumption</t>
  </si>
  <si>
    <t xml:space="preserve">Source / note</t>
  </si>
  <si>
    <t xml:space="preserve">Starting CET1 capital ($mm)</t>
  </si>
  <si>
    <t xml:space="preserve">API-16, Q2 2026 regulatory capital</t>
  </si>
  <si>
    <t xml:space="preserve">Starting standardized RWA ($mm)</t>
  </si>
  <si>
    <t xml:space="preserve">API-16, Q2 2026</t>
  </si>
  <si>
    <t xml:space="preserve">Starting common shares outstanding (mm)</t>
  </si>
  <si>
    <t xml:space="preserve">Transfer agent, 2026-06-30</t>
  </si>
  <si>
    <t xml:space="preserve">Baseline quarterly net income ($mm)</t>
  </si>
  <si>
    <t xml:space="preserve">Financial plan 2026-2028</t>
  </si>
  <si>
    <t xml:space="preserve">Net income growth per quarter</t>
  </si>
  <si>
    <t xml:space="preserve">Financial plan</t>
  </si>
  <si>
    <t xml:space="preserve">Preferred dividends per quarter ($mm)</t>
  </si>
  <si>
    <t xml:space="preserve">Contractual</t>
  </si>
  <si>
    <t xml:space="preserve">Common dividend per share per quarter ($)</t>
  </si>
  <si>
    <t xml:space="preserve">Board-declared; flat in projection</t>
  </si>
  <si>
    <t xml:space="preserve">Share repurchases per quarter ($mm)</t>
  </si>
  <si>
    <t xml:space="preserve">Board-authorised program ($30bn, 2025-2028)</t>
  </si>
  <si>
    <t xml:space="preserve">Assumed share price ($)</t>
  </si>
  <si>
    <t xml:space="preserve">Flat assumption for share count roll-forward</t>
  </si>
  <si>
    <t xml:space="preserve">Baseline RWA growth per quarter</t>
  </si>
  <si>
    <t xml:space="preserve">Balance sheet plan</t>
  </si>
  <si>
    <t xml:space="preserve">Other CET1 movements per quarter ($mm)</t>
  </si>
  <si>
    <t xml:space="preserve">AOCI, deductions, employee stock plans (net)</t>
  </si>
  <si>
    <t xml:space="preserve">Effective tax rate</t>
  </si>
  <si>
    <t xml:space="preserve">FY2025 effective rate</t>
  </si>
  <si>
    <t xml:space="preserve">CET1 regulatory minimum</t>
  </si>
  <si>
    <t xml:space="preserve">12 CFR 217</t>
  </si>
  <si>
    <t xml:space="preserve">Stress capital buffer (current)</t>
  </si>
  <si>
    <t xml:space="preserve">Effective 2025-10-01</t>
  </si>
  <si>
    <t xml:space="preserve">G-SIB surcharge</t>
  </si>
  <si>
    <t xml:space="preserve">Method 2</t>
  </si>
  <si>
    <t xml:space="preserve">Management target CET1 ratio</t>
  </si>
  <si>
    <t xml:space="preserve">Board Capital Committee</t>
  </si>
  <si>
    <t xml:space="preserve">Regulatory CET1 requirement</t>
  </si>
  <si>
    <t xml:space="preserve">Baseline Projection</t>
  </si>
  <si>
    <t xml:space="preserve">Quarterly, $mm</t>
  </si>
  <si>
    <t xml:space="preserve">Line item</t>
  </si>
  <si>
    <t xml:space="preserve">Q2 2026 (actual)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</si>
  <si>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</si>
  <si>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</si>
  <si>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</si>
  <si>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</si>
  <si>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</si>
  <si>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</si>
  <si>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</si>
  <si>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</si>
  <si>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</si>
  <si>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Beginning CET1 capital</t>
  </si>
  <si>
    <t xml:space="preserve">Net income</t>
  </si>
  <si>
    <t xml:space="preserve">Preferred dividends</t>
  </si>
  <si>
    <t xml:space="preserve">Common dividends</t>
  </si>
  <si>
    <t xml:space="preserve">Share repurchases</t>
  </si>
  <si>
    <t xml:space="preserve">Other CET1 movements</t>
  </si>
  <si>
    <t xml:space="preserve">Ending CET1 capital</t>
  </si>
  <si>
    <t xml:space="preserve">RWA growth</t>
  </si>
  <si>
    <t xml:space="preserve">Standardized RWA</t>
  </si>
  <si>
    <t xml:space="preserve">CET1 ratio</t>
  </si>
  <si>
    <t xml:space="preserve">Shares outstanding (mm)</t>
  </si>
  <si>
    <t xml:space="preserve">Headroom vs management target ($mm)</t>
  </si>
  <si>
    <t xml:space="preserve">Headroom vs regulatory requirement ($mm)</t>
  </si>
  <si>
    <t xml:space="preserve">Severely Adverse Projection</t>
  </si>
  <si>
    <t xml:space="preserve">Quarterly, $mm - stress losses from enterprise stress testing program</t>
  </si>
  <si>
    <t xml:space="preserve">Pre-provision net revenue (PPNR)</t>
  </si>
  <si>
    <t xml:space="preserve">Provision for credit losses</t>
  </si>
  <si>
    <t xml:space="preserve">Trading &amp; counterparty losses</t>
  </si>
  <si>
    <t xml:space="preserve">Pre-tax income</t>
  </si>
  <si>
    <t xml:space="preserve">Income tax (benefit)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</si>
</sst>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;\(0.00%\);\-"/>
    <numFmt numFmtId="166" formatCode="\$#,##0;&quot;($&quot;#,##0\);\-"/>
    <numFmt numFmtId="167" formatCode="#,##0.0;\(#,##0.0\);\-"/>
    <numFmt numFmtId="168" formatCode="0.0%;\(0.0%\);\-"/>
    <numFmt numFmtId="169" formatCode="\$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AA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23.8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  <row r="15" customFormat="false" ht="15" hidden="false" customHeight="false" outlineLevel="0" collapsed="false">
      <c r="A15" s="4" t="s">
        <v>23</v>
      </c>
      <c r="B15" s="5" t="s">
        <v>24</v>
      </c>
    </row>
    <row r="16" customFormat="false" ht="15" hidden="false" customHeight="false" outlineLevel="0" collapsed="false">
      <c r="A16" s="4" t="s">
        <v>25</v>
      </c>
      <c r="B16" s="5" t="s">
        <v>26</v>
      </c>
    </row>
    <row r="17" customFormat="false" ht="15" hidden="false" customHeight="false" outlineLevel="0" collapsed="false">
      <c r="B17" s="6"/>
    </row>
    <row r="18" customFormat="false" ht="17.35" hidden="false" customHeight="false" outlineLevel="0" collapsed="false">
      <c r="A18" s="1" t="s">
        <v>27</v>
      </c>
      <c r="B18" s="6"/>
    </row>
    <row r="19" customFormat="false" ht="15" hidden="false" customHeight="false" outlineLevel="0" collapsed="false">
      <c r="A19" s="4" t="s">
        <v>28</v>
      </c>
      <c r="B19" s="6" t="s">
        <v>29</v>
      </c>
    </row>
    <row r="20" customFormat="false" ht="15" hidden="false" customHeight="false" outlineLevel="0" collapsed="false">
      <c r="A20" s="4" t="s">
        <v>30</v>
      </c>
      <c r="B20" s="6" t="s">
        <v>31</v>
      </c>
    </row>
    <row r="21" customFormat="false" ht="15" hidden="false" customHeight="false" outlineLevel="0" collapsed="false">
      <c r="A21" s="4" t="s">
        <v>32</v>
      </c>
      <c r="B21" s="6" t="s">
        <v>33</v>
      </c>
    </row>
    <row r="22" customFormat="false" ht="15" hidden="false" customHeight="false" outlineLevel="0" collapsed="false">
      <c r="A22" s="4" t="s">
        <v>34</v>
      </c>
      <c r="B22" s="6" t="s">
        <v>35</v>
      </c>
    </row>
    <row r="23" customFormat="false" ht="15" hidden="false" customHeight="false" outlineLevel="0" collapsed="false">
      <c r="B23" s="6"/>
    </row>
    <row r="24" customFormat="false" ht="17.35" hidden="false" customHeight="false" outlineLevel="0" collapsed="false">
      <c r="A24" s="1" t="s">
        <v>36</v>
      </c>
      <c r="B24" s="6"/>
    </row>
    <row r="25" customFormat="false" ht="15" hidden="false" customHeight="false" outlineLevel="0" collapsed="false">
      <c r="A25" s="7" t="s">
        <v>37</v>
      </c>
      <c r="B25" s="6" t="s">
        <v>38</v>
      </c>
    </row>
    <row r="26" customFormat="false" ht="15" hidden="false" customHeight="false" outlineLevel="0" collapsed="false">
      <c r="A26" s="7" t="s">
        <v>39</v>
      </c>
      <c r="B26" s="6" t="s">
        <v>40</v>
      </c>
    </row>
    <row r="27" customFormat="false" ht="15" hidden="false" customHeight="false" outlineLevel="0" collapsed="false">
      <c r="A27" s="7" t="s">
        <v>41</v>
      </c>
      <c r="B27" s="6" t="s">
        <v>42</v>
      </c>
    </row>
    <row r="28" customFormat="false" ht="28.35" hidden="false" customHeight="false" outlineLevel="0" collapsed="false">
      <c r="A28" s="7" t="s">
        <v>43</v>
      </c>
      <c r="B28" s="6" t="s">
        <v>44</v>
      </c>
    </row>
    <row r="29" customFormat="false" ht="28.35" hidden="false" customHeight="false" outlineLevel="0" collapsed="false">
      <c r="A29" s="7" t="s">
        <v>45</v>
      </c>
      <c r="B29" s="6" t="s">
        <v>46</v>
      </c>
    </row>
    <row r="30" customFormat="false" ht="15" hidden="false" customHeight="false" outlineLevel="0" collapsed="false">
      <c r="B30" s="6"/>
    </row>
    <row r="31" customFormat="false" ht="17.35" hidden="false" customHeight="false" outlineLevel="0" collapsed="false">
      <c r="A31" s="1" t="s">
        <v>47</v>
      </c>
      <c r="B31" s="6"/>
    </row>
    <row r="32" customFormat="false" ht="15" hidden="false" customHeight="false" outlineLevel="0" collapsed="false">
      <c r="A32" s="7" t="s">
        <v>37</v>
      </c>
      <c r="B32" s="6" t="s">
        <v>48</v>
      </c>
    </row>
    <row r="33" customFormat="false" ht="15" hidden="false" customHeight="false" outlineLevel="0" collapsed="false">
      <c r="A33" s="7" t="s">
        <v>39</v>
      </c>
      <c r="B33" s="6" t="s">
        <v>49</v>
      </c>
    </row>
    <row r="34" customFormat="false" ht="15" hidden="false" customHeight="false" outlineLevel="0" collapsed="false">
      <c r="A34" s="7" t="s">
        <v>41</v>
      </c>
      <c r="B34" s="6" t="s">
        <v>50</v>
      </c>
    </row>
    <row r="35" customFormat="false" ht="15" hidden="false" customHeight="false" outlineLevel="0" collapsed="false">
      <c r="A35" s="7" t="s">
        <v>43</v>
      </c>
      <c r="B35" s="6" t="s">
        <v>51</v>
      </c>
    </row>
    <row r="36" customFormat="false" ht="15" hidden="false" customHeight="false" outlineLevel="0" collapsed="false">
      <c r="B36" s="6"/>
    </row>
    <row r="37" customFormat="false" ht="17.35" hidden="false" customHeight="false" outlineLevel="0" collapsed="false">
      <c r="A37" s="1" t="s">
        <v>52</v>
      </c>
      <c r="B37" s="6"/>
    </row>
    <row r="38" customFormat="false" ht="15" hidden="false" customHeight="false" outlineLevel="0" collapsed="false">
      <c r="A38" s="7" t="s">
        <v>37</v>
      </c>
      <c r="B38" s="6" t="s">
        <v>53</v>
      </c>
    </row>
    <row r="39" customFormat="false" ht="15" hidden="false" customHeight="false" outlineLevel="0" collapsed="false">
      <c r="A39" s="7" t="s">
        <v>39</v>
      </c>
      <c r="B39" s="6" t="s">
        <v>54</v>
      </c>
    </row>
    <row r="40" customFormat="false" ht="15" hidden="false" customHeight="false" outlineLevel="0" collapsed="false">
      <c r="A40" s="7" t="s">
        <v>41</v>
      </c>
      <c r="B40" s="6" t="s">
        <v>55</v>
      </c>
    </row>
    <row r="41" customFormat="false" ht="15" hidden="false" customHeight="false" outlineLevel="0" collapsed="false">
      <c r="B41" s="6"/>
    </row>
    <row r="42" customFormat="false" ht="17.35" hidden="false" customHeight="false" outlineLevel="0" collapsed="false">
      <c r="A42" s="1" t="s">
        <v>56</v>
      </c>
      <c r="B42" s="6"/>
    </row>
    <row r="43" customFormat="false" ht="15" hidden="false" customHeight="false" outlineLevel="0" collapsed="false">
      <c r="A43" s="7" t="s">
        <v>37</v>
      </c>
      <c r="B43" s="6" t="s">
        <v>57</v>
      </c>
    </row>
    <row r="44" customFormat="false" ht="15" hidden="false" customHeight="false" outlineLevel="0" collapsed="false">
      <c r="A44" s="7" t="s">
        <v>39</v>
      </c>
      <c r="B44" s="6" t="s">
        <v>58</v>
      </c>
    </row>
    <row r="45" customFormat="false" ht="15" hidden="false" customHeight="false" outlineLevel="0" collapsed="false">
      <c r="A45" s="7" t="s">
        <v>41</v>
      </c>
      <c r="B45" s="6" t="s">
        <v>59</v>
      </c>
    </row>
    <row r="46" customFormat="false" ht="15" hidden="false" customHeight="false" outlineLevel="0" collapsed="false">
      <c r="B46" s="6"/>
    </row>
    <row r="47" customFormat="false" ht="17.35" hidden="false" customHeight="false" outlineLevel="0" collapsed="false">
      <c r="A47" s="1" t="s">
        <v>60</v>
      </c>
      <c r="B47" s="6"/>
    </row>
    <row r="48" customFormat="false" ht="15" hidden="false" customHeight="false" outlineLevel="0" collapsed="false">
      <c r="B48" s="8" t="s">
        <v>61</v>
      </c>
    </row>
    <row r="49" customFormat="false" ht="15" hidden="false" customHeight="false" outlineLevel="0" collapsed="false">
      <c r="B49" s="5" t="s">
        <v>62</v>
      </c>
    </row>
    <row r="50" customFormat="false" ht="15" hidden="false" customHeight="false" outlineLevel="0" collapsed="false">
      <c r="B50" s="9" t="s">
        <v>63</v>
      </c>
    </row>
    <row r="51" customFormat="false" ht="15" hidden="false" customHeight="false" outlineLevel="0" collapsed="false">
      <c r="B51" s="10" t="s">
        <v>64</v>
      </c>
    </row>
    <row r="52" customFormat="false" ht="15" hidden="false" customHeight="false" outlineLevel="0" collapsed="false">
      <c r="B5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67</v>
      </c>
      <c r="B5" s="11" t="s">
        <v>68</v>
      </c>
      <c r="C5" s="11" t="s">
        <v>69</v>
      </c>
    </row>
    <row r="6" customFormat="false" ht="15" hidden="false" customHeight="false" outlineLevel="0" collapsed="false">
      <c r="A6" s="12" t="s">
        <v>70</v>
      </c>
      <c r="B6" s="13" t="n">
        <f aca="false">Baseline_Projection!B15</f>
        <v>0.151406343506882</v>
      </c>
      <c r="C6" s="14"/>
    </row>
    <row r="7" customFormat="false" ht="15" hidden="false" customHeight="false" outlineLevel="0" collapsed="false">
      <c r="A7" s="12" t="s">
        <v>71</v>
      </c>
      <c r="B7" s="13" t="n">
        <f aca="false">Baseline_Projection!K15</f>
        <v>0.161455951841534</v>
      </c>
      <c r="C7" s="14"/>
    </row>
    <row r="8" customFormat="false" ht="15" hidden="false" customHeight="false" outlineLevel="0" collapsed="false">
      <c r="A8" s="12" t="s">
        <v>72</v>
      </c>
      <c r="B8" s="13" t="n">
        <f aca="false">MIN(Baseline_Projection!C15:K15)</f>
        <v>0.152280086626257</v>
      </c>
      <c r="C8" s="14"/>
    </row>
    <row r="9" customFormat="false" ht="15" hidden="false" customHeight="false" outlineLevel="0" collapsed="false">
      <c r="A9" s="12" t="s">
        <v>73</v>
      </c>
      <c r="B9" s="13" t="n">
        <f aca="false">MIN(Stress_Projection!C20:K20)</f>
        <v>0.128983971546123</v>
      </c>
      <c r="C9" s="14"/>
    </row>
    <row r="10" customFormat="false" ht="15" hidden="false" customHeight="false" outlineLevel="0" collapsed="false">
      <c r="A10" s="12" t="s">
        <v>74</v>
      </c>
      <c r="B10" s="15" t="n">
        <f aca="false">B6-B9</f>
        <v>0.0224223719607589</v>
      </c>
      <c r="C10" s="14" t="s">
        <v>75</v>
      </c>
    </row>
    <row r="11" customFormat="false" ht="15" hidden="false" customHeight="false" outlineLevel="0" collapsed="false">
      <c r="A11" s="12" t="s">
        <v>76</v>
      </c>
      <c r="B11" s="13" t="n">
        <f aca="false">-SUM(Baseline_Projection!C9:F9)/Baseline_Projection!B14</f>
        <v>0.00938598498864784</v>
      </c>
      <c r="C11" s="14" t="s">
        <v>77</v>
      </c>
    </row>
    <row r="12" customFormat="false" ht="15" hidden="false" customHeight="false" outlineLevel="0" collapsed="false">
      <c r="A12" s="12" t="s">
        <v>78</v>
      </c>
      <c r="B12" s="15" t="n">
        <f aca="false">MAX(0.025,B10+B11)</f>
        <v>0.0318083569494068</v>
      </c>
      <c r="C12" s="14" t="s">
        <v>79</v>
      </c>
    </row>
    <row r="13" customFormat="false" ht="15" hidden="false" customHeight="false" outlineLevel="0" collapsed="false">
      <c r="A13" s="12" t="s">
        <v>80</v>
      </c>
      <c r="B13" s="13" t="n">
        <f aca="false">Assumptions!$B$23</f>
        <v>0.102</v>
      </c>
      <c r="C13" s="14" t="s">
        <v>81</v>
      </c>
    </row>
    <row r="14" customFormat="false" ht="15" hidden="false" customHeight="false" outlineLevel="0" collapsed="false">
      <c r="A14" s="12" t="s">
        <v>82</v>
      </c>
      <c r="B14" s="13" t="n">
        <f aca="false">Assumptions!$B$18+B12+Assumptions!$B$20</f>
        <v>0.101808356949407</v>
      </c>
      <c r="C14" s="14"/>
    </row>
    <row r="15" customFormat="false" ht="15" hidden="false" customHeight="false" outlineLevel="0" collapsed="false">
      <c r="A15" s="12" t="s">
        <v>83</v>
      </c>
      <c r="B15" s="13" t="n">
        <f aca="false">Assumptions!$B$21</f>
        <v>0.13</v>
      </c>
      <c r="C15" s="14"/>
    </row>
    <row r="16" customFormat="false" ht="15" hidden="false" customHeight="false" outlineLevel="0" collapsed="false">
      <c r="A16" s="12" t="s">
        <v>84</v>
      </c>
      <c r="B16" s="16" t="n">
        <f aca="false">-SUM(Baseline_Projection!C10:K10)</f>
        <v>27000</v>
      </c>
      <c r="C16" s="14"/>
    </row>
    <row r="17" customFormat="false" ht="15" hidden="false" customHeight="false" outlineLevel="0" collapsed="false">
      <c r="A17" s="12" t="s">
        <v>85</v>
      </c>
      <c r="B17" s="16" t="n">
        <f aca="false">Baseline_Projection!K17</f>
        <v>22994.9058910998</v>
      </c>
      <c r="C17" s="14" t="s">
        <v>86</v>
      </c>
    </row>
    <row r="18" customFormat="false" ht="15" hidden="false" customHeight="false" outlineLevel="0" collapsed="false">
      <c r="A18" s="12" t="s">
        <v>87</v>
      </c>
      <c r="B18" s="17" t="str">
        <f aca="false">IF(B9&gt;=B13,"YES","NO - capital action required")</f>
        <v>YES</v>
      </c>
      <c r="C1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89</v>
      </c>
      <c r="B5" s="11" t="s">
        <v>68</v>
      </c>
      <c r="C5" s="11" t="s">
        <v>90</v>
      </c>
    </row>
    <row r="6" customFormat="false" ht="15" hidden="false" customHeight="false" outlineLevel="0" collapsed="false">
      <c r="A6" s="12" t="s">
        <v>91</v>
      </c>
      <c r="B6" s="18" t="n">
        <v>101200</v>
      </c>
      <c r="C6" s="14" t="s">
        <v>92</v>
      </c>
    </row>
    <row r="7" customFormat="false" ht="15" hidden="false" customHeight="false" outlineLevel="0" collapsed="false">
      <c r="A7" s="12" t="s">
        <v>93</v>
      </c>
      <c r="B7" s="18" t="n">
        <v>668400</v>
      </c>
      <c r="C7" s="14" t="s">
        <v>94</v>
      </c>
    </row>
    <row r="8" customFormat="false" ht="15" hidden="false" customHeight="false" outlineLevel="0" collapsed="false">
      <c r="A8" s="12" t="s">
        <v>95</v>
      </c>
      <c r="B8" s="19" t="n">
        <v>1381</v>
      </c>
      <c r="C8" s="14" t="s">
        <v>96</v>
      </c>
    </row>
    <row r="9" customFormat="false" ht="15" hidden="false" customHeight="false" outlineLevel="0" collapsed="false">
      <c r="A9" s="12" t="s">
        <v>97</v>
      </c>
      <c r="B9" s="20" t="n">
        <v>6600</v>
      </c>
      <c r="C9" s="14" t="s">
        <v>98</v>
      </c>
    </row>
    <row r="10" customFormat="false" ht="15" hidden="false" customHeight="false" outlineLevel="0" collapsed="false">
      <c r="A10" s="12" t="s">
        <v>99</v>
      </c>
      <c r="B10" s="21" t="n">
        <v>0.008</v>
      </c>
      <c r="C10" s="14" t="s">
        <v>100</v>
      </c>
    </row>
    <row r="11" customFormat="false" ht="15" hidden="false" customHeight="false" outlineLevel="0" collapsed="false">
      <c r="A11" s="12" t="s">
        <v>101</v>
      </c>
      <c r="B11" s="18" t="n">
        <v>260</v>
      </c>
      <c r="C11" s="14" t="s">
        <v>102</v>
      </c>
    </row>
    <row r="12" customFormat="false" ht="15" hidden="false" customHeight="false" outlineLevel="0" collapsed="false">
      <c r="A12" s="12" t="s">
        <v>103</v>
      </c>
      <c r="B12" s="22" t="n">
        <v>1.15</v>
      </c>
      <c r="C12" s="14" t="s">
        <v>104</v>
      </c>
    </row>
    <row r="13" customFormat="false" ht="15" hidden="false" customHeight="false" outlineLevel="0" collapsed="false">
      <c r="A13" s="12" t="s">
        <v>105</v>
      </c>
      <c r="B13" s="20" t="n">
        <v>3000</v>
      </c>
      <c r="C13" s="14" t="s">
        <v>106</v>
      </c>
    </row>
    <row r="14" customFormat="false" ht="15" hidden="false" customHeight="false" outlineLevel="0" collapsed="false">
      <c r="A14" s="12" t="s">
        <v>107</v>
      </c>
      <c r="B14" s="22" t="n">
        <v>262</v>
      </c>
      <c r="C14" s="14" t="s">
        <v>108</v>
      </c>
    </row>
    <row r="15" customFormat="false" ht="15" hidden="false" customHeight="false" outlineLevel="0" collapsed="false">
      <c r="A15" s="12" t="s">
        <v>109</v>
      </c>
      <c r="B15" s="23" t="n">
        <v>0.01</v>
      </c>
      <c r="C15" s="14" t="s">
        <v>110</v>
      </c>
    </row>
    <row r="16" customFormat="false" ht="15" hidden="false" customHeight="false" outlineLevel="0" collapsed="false">
      <c r="A16" s="12" t="s">
        <v>111</v>
      </c>
      <c r="B16" s="18" t="n">
        <v>-150</v>
      </c>
      <c r="C16" s="14" t="s">
        <v>112</v>
      </c>
    </row>
    <row r="17" customFormat="false" ht="15" hidden="false" customHeight="false" outlineLevel="0" collapsed="false">
      <c r="A17" s="12" t="s">
        <v>113</v>
      </c>
      <c r="B17" s="21" t="n">
        <v>0.22</v>
      </c>
      <c r="C17" s="14" t="s">
        <v>114</v>
      </c>
    </row>
    <row r="18" customFormat="false" ht="15" hidden="false" customHeight="false" outlineLevel="0" collapsed="false">
      <c r="A18" s="12" t="s">
        <v>115</v>
      </c>
      <c r="B18" s="21" t="n">
        <v>0.045</v>
      </c>
      <c r="C18" s="14" t="s">
        <v>116</v>
      </c>
    </row>
    <row r="19" customFormat="false" ht="15" hidden="false" customHeight="false" outlineLevel="0" collapsed="false">
      <c r="A19" s="12" t="s">
        <v>117</v>
      </c>
      <c r="B19" s="21" t="n">
        <v>0.032</v>
      </c>
      <c r="C19" s="14" t="s">
        <v>118</v>
      </c>
    </row>
    <row r="20" customFormat="false" ht="15" hidden="false" customHeight="false" outlineLevel="0" collapsed="false">
      <c r="A20" s="12" t="s">
        <v>119</v>
      </c>
      <c r="B20" s="21" t="n">
        <v>0.025</v>
      </c>
      <c r="C20" s="14" t="s">
        <v>120</v>
      </c>
    </row>
    <row r="21" customFormat="false" ht="15" hidden="false" customHeight="false" outlineLevel="0" collapsed="false">
      <c r="A21" s="12" t="s">
        <v>121</v>
      </c>
      <c r="B21" s="23" t="n">
        <v>0.13</v>
      </c>
      <c r="C21" s="14" t="s">
        <v>122</v>
      </c>
    </row>
    <row r="23" customFormat="false" ht="15" hidden="false" customHeight="false" outlineLevel="0" collapsed="false">
      <c r="A23" s="12" t="s">
        <v>123</v>
      </c>
      <c r="B23" s="24" t="n">
        <f aca="false">B18+B19+B20</f>
        <v>0.102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126</v>
      </c>
      <c r="B5" s="11" t="s">
        <v>127</v>
      </c>
      <c r="C5" s="11" t="s">
        <v>128</v>
      </c>
      <c r="D5" s="11" t="s">
        <v>129</v>
      </c>
      <c r="E5" s="11" t="s">
        <v>130</v>
      </c>
      <c r="F5" s="11" t="s">
        <v>131</v>
      </c>
      <c r="G5" s="11" t="s">
        <v>132</v>
      </c>
      <c r="H5" s="11" t="s">
        <v>133</v>
      </c>
      <c r="I5" s="11" t="s">
        <v>134</v>
      </c>
      <c r="J5" s="11" t="s">
        <v>135</v>
      </c>
      <c r="K5" s="11" t="s">
        <v>136</v>
      </c>
    </row>
    <row r="6" customFormat="false" ht="15" hidden="false" customHeight="false" outlineLevel="0" collapsed="false">
      <c r="A6" s="12" t="s">
        <v>137</v>
      </c>
      <c r="C6" s="25" t="n">
        <f aca="false">B12</f>
        <v>101200</v>
      </c>
      <c r="D6" s="25" t="n">
        <f aca="false">C12</f>
        <v>102801.85</v>
      </c>
      <c r="E6" s="25" t="n">
        <f aca="false">D12</f>
        <v>104469.667938931</v>
      </c>
      <c r="F6" s="25" t="n">
        <f aca="false">E12</f>
        <v>106203.876216794</v>
      </c>
      <c r="G6" s="25" t="n">
        <f aca="false">F12</f>
        <v>108004.900612788</v>
      </c>
      <c r="H6" s="25" t="n">
        <f aca="false">G12</f>
        <v>109873.170312347</v>
      </c>
      <c r="I6" s="25" t="n">
        <f aca="false">H12</f>
        <v>111809.117934387</v>
      </c>
      <c r="J6" s="25" t="n">
        <f aca="false">I12</f>
        <v>113813.179558778</v>
      </c>
      <c r="K6" s="25" t="n">
        <f aca="false">J12</f>
        <v>115885.794754027</v>
      </c>
    </row>
    <row r="7" customFormat="false" ht="15" hidden="false" customHeight="false" outlineLevel="0" collapsed="false">
      <c r="A7" s="12" t="s">
        <v>138</v>
      </c>
      <c r="C7" s="25" t="n">
        <f aca="false">Assumptions!$B$9*(1+Assumptions!$B$10)^0</f>
        <v>6600</v>
      </c>
      <c r="D7" s="25" t="n">
        <f aca="false">Assumptions!$B$9*(1+Assumptions!$B$10)^1</f>
        <v>6652.8</v>
      </c>
      <c r="E7" s="25" t="n">
        <f aca="false">Assumptions!$B$9*(1+Assumptions!$B$10)^2</f>
        <v>6706.0224</v>
      </c>
      <c r="F7" s="25" t="n">
        <f aca="false">Assumptions!$B$9*(1+Assumptions!$B$10)^3</f>
        <v>6759.6705792</v>
      </c>
      <c r="G7" s="25" t="n">
        <f aca="false">Assumptions!$B$9*(1+Assumptions!$B$10)^4</f>
        <v>6813.7479438336</v>
      </c>
      <c r="H7" s="25" t="n">
        <f aca="false">Assumptions!$B$9*(1+Assumptions!$B$10)^5</f>
        <v>6868.25792738427</v>
      </c>
      <c r="I7" s="25" t="n">
        <f aca="false">Assumptions!$B$9*(1+Assumptions!$B$10)^6</f>
        <v>6923.20399080334</v>
      </c>
      <c r="J7" s="25" t="n">
        <f aca="false">Assumptions!$B$9*(1+Assumptions!$B$10)^7</f>
        <v>6978.58962272977</v>
      </c>
      <c r="K7" s="25" t="n">
        <f aca="false">Assumptions!$B$9*(1+Assumptions!$B$10)^8</f>
        <v>7034.41833971161</v>
      </c>
    </row>
    <row r="8" customFormat="false" ht="15" hidden="false" customHeight="false" outlineLevel="0" collapsed="false">
      <c r="A8" s="12" t="s">
        <v>139</v>
      </c>
      <c r="C8" s="26" t="n">
        <f aca="false">-Assumptions!$B$11</f>
        <v>-260</v>
      </c>
      <c r="D8" s="26" t="n">
        <f aca="false">-Assumptions!$B$11</f>
        <v>-260</v>
      </c>
      <c r="E8" s="26" t="n">
        <f aca="false">-Assumptions!$B$11</f>
        <v>-260</v>
      </c>
      <c r="F8" s="26" t="n">
        <f aca="false">-Assumptions!$B$11</f>
        <v>-260</v>
      </c>
      <c r="G8" s="26" t="n">
        <f aca="false">-Assumptions!$B$11</f>
        <v>-260</v>
      </c>
      <c r="H8" s="26" t="n">
        <f aca="false">-Assumptions!$B$11</f>
        <v>-260</v>
      </c>
      <c r="I8" s="26" t="n">
        <f aca="false">-Assumptions!$B$11</f>
        <v>-260</v>
      </c>
      <c r="J8" s="26" t="n">
        <f aca="false">-Assumptions!$B$11</f>
        <v>-260</v>
      </c>
      <c r="K8" s="26" t="n">
        <f aca="false">-Assumptions!$B$11</f>
        <v>-260</v>
      </c>
    </row>
    <row r="9" customFormat="false" ht="15" hidden="false" customHeight="false" outlineLevel="0" collapsed="false">
      <c r="A9" s="12" t="s">
        <v>140</v>
      </c>
      <c r="C9" s="25" t="n">
        <f aca="false">-B16*Assumptions!$B$12</f>
        <v>-1588.15</v>
      </c>
      <c r="D9" s="25" t="n">
        <f aca="false">-C16*Assumptions!$B$12</f>
        <v>-1574.9820610687</v>
      </c>
      <c r="E9" s="25" t="n">
        <f aca="false">-D16*Assumptions!$B$12</f>
        <v>-1561.8141221374</v>
      </c>
      <c r="F9" s="25" t="n">
        <f aca="false">-E16*Assumptions!$B$12</f>
        <v>-1548.64618320611</v>
      </c>
      <c r="G9" s="25" t="n">
        <f aca="false">-F16*Assumptions!$B$12</f>
        <v>-1535.47824427481</v>
      </c>
      <c r="H9" s="25" t="n">
        <f aca="false">-G16*Assumptions!$B$12</f>
        <v>-1522.31030534351</v>
      </c>
      <c r="I9" s="25" t="n">
        <f aca="false">-H16*Assumptions!$B$12</f>
        <v>-1509.14236641221</v>
      </c>
      <c r="J9" s="25" t="n">
        <f aca="false">-I16*Assumptions!$B$12</f>
        <v>-1495.97442748092</v>
      </c>
      <c r="K9" s="25" t="n">
        <f aca="false">-J16*Assumptions!$B$12</f>
        <v>-1482.80648854962</v>
      </c>
    </row>
    <row r="10" customFormat="false" ht="15" hidden="false" customHeight="false" outlineLevel="0" collapsed="false">
      <c r="A10" s="12" t="s">
        <v>141</v>
      </c>
      <c r="C10" s="26" t="n">
        <f aca="false">-Assumptions!$B$13</f>
        <v>-3000</v>
      </c>
      <c r="D10" s="26" t="n">
        <f aca="false">-Assumptions!$B$13</f>
        <v>-3000</v>
      </c>
      <c r="E10" s="26" t="n">
        <f aca="false">-Assumptions!$B$13</f>
        <v>-3000</v>
      </c>
      <c r="F10" s="26" t="n">
        <f aca="false">-Assumptions!$B$13</f>
        <v>-3000</v>
      </c>
      <c r="G10" s="26" t="n">
        <f aca="false">-Assumptions!$B$13</f>
        <v>-3000</v>
      </c>
      <c r="H10" s="26" t="n">
        <f aca="false">-Assumptions!$B$13</f>
        <v>-3000</v>
      </c>
      <c r="I10" s="26" t="n">
        <f aca="false">-Assumptions!$B$13</f>
        <v>-3000</v>
      </c>
      <c r="J10" s="26" t="n">
        <f aca="false">-Assumptions!$B$13</f>
        <v>-3000</v>
      </c>
      <c r="K10" s="26" t="n">
        <f aca="false">-Assumptions!$B$13</f>
        <v>-3000</v>
      </c>
    </row>
    <row r="11" customFormat="false" ht="15" hidden="false" customHeight="false" outlineLevel="0" collapsed="false">
      <c r="A11" s="12" t="s">
        <v>142</v>
      </c>
      <c r="C11" s="26" t="n">
        <f aca="false">Assumptions!$B$16</f>
        <v>-150</v>
      </c>
      <c r="D11" s="26" t="n">
        <f aca="false">Assumptions!$B$16</f>
        <v>-150</v>
      </c>
      <c r="E11" s="26" t="n">
        <f aca="false">Assumptions!$B$16</f>
        <v>-150</v>
      </c>
      <c r="F11" s="26" t="n">
        <f aca="false">Assumptions!$B$16</f>
        <v>-150</v>
      </c>
      <c r="G11" s="26" t="n">
        <f aca="false">Assumptions!$B$16</f>
        <v>-150</v>
      </c>
      <c r="H11" s="26" t="n">
        <f aca="false">Assumptions!$B$16</f>
        <v>-150</v>
      </c>
      <c r="I11" s="26" t="n">
        <f aca="false">Assumptions!$B$16</f>
        <v>-150</v>
      </c>
      <c r="J11" s="26" t="n">
        <f aca="false">Assumptions!$B$16</f>
        <v>-150</v>
      </c>
      <c r="K11" s="26" t="n">
        <f aca="false">Assumptions!$B$16</f>
        <v>-150</v>
      </c>
    </row>
    <row r="12" customFormat="false" ht="15" hidden="false" customHeight="false" outlineLevel="0" collapsed="false">
      <c r="A12" s="12" t="s">
        <v>143</v>
      </c>
      <c r="B12" s="26" t="n">
        <f aca="false">Assumptions!$B$6</f>
        <v>101200</v>
      </c>
      <c r="C12" s="27" t="n">
        <f aca="false">C6+C7+C8+C9+C10+C11</f>
        <v>102801.85</v>
      </c>
      <c r="D12" s="27" t="n">
        <f aca="false">D6+D7+D8+D9+D10+D11</f>
        <v>104469.667938931</v>
      </c>
      <c r="E12" s="27" t="n">
        <f aca="false">E6+E7+E8+E9+E10+E11</f>
        <v>106203.876216794</v>
      </c>
      <c r="F12" s="27" t="n">
        <f aca="false">F6+F7+F8+F9+F10+F11</f>
        <v>108004.900612788</v>
      </c>
      <c r="G12" s="27" t="n">
        <f aca="false">G6+G7+G8+G9+G10+G11</f>
        <v>109873.170312347</v>
      </c>
      <c r="H12" s="27" t="n">
        <f aca="false">H6+H7+H8+H9+H10+H11</f>
        <v>111809.117934387</v>
      </c>
      <c r="I12" s="27" t="n">
        <f aca="false">I6+I7+I8+I9+I10+I11</f>
        <v>113813.179558778</v>
      </c>
      <c r="J12" s="27" t="n">
        <f aca="false">J6+J7+J8+J9+J10+J11</f>
        <v>115885.794754027</v>
      </c>
      <c r="K12" s="27" t="n">
        <f aca="false">K6+K7+K8+K9+K10+K11</f>
        <v>118027.406605189</v>
      </c>
    </row>
    <row r="13" customFormat="false" ht="15" hidden="false" customHeight="false" outlineLevel="0" collapsed="false">
      <c r="A13" s="12" t="s">
        <v>144</v>
      </c>
      <c r="C13" s="28" t="n">
        <f aca="false">Assumptions!$B$15</f>
        <v>0.01</v>
      </c>
      <c r="D13" s="28" t="n">
        <f aca="false">Assumptions!$B$15</f>
        <v>0.01</v>
      </c>
      <c r="E13" s="28" t="n">
        <f aca="false">Assumptions!$B$15</f>
        <v>0.01</v>
      </c>
      <c r="F13" s="28" t="n">
        <f aca="false">Assumptions!$B$15</f>
        <v>0.01</v>
      </c>
      <c r="G13" s="28" t="n">
        <f aca="false">Assumptions!$B$15</f>
        <v>0.01</v>
      </c>
      <c r="H13" s="28" t="n">
        <f aca="false">Assumptions!$B$15</f>
        <v>0.01</v>
      </c>
      <c r="I13" s="28" t="n">
        <f aca="false">Assumptions!$B$15</f>
        <v>0.01</v>
      </c>
      <c r="J13" s="28" t="n">
        <f aca="false">Assumptions!$B$15</f>
        <v>0.01</v>
      </c>
      <c r="K13" s="28" t="n">
        <f aca="false">Assumptions!$B$15</f>
        <v>0.01</v>
      </c>
    </row>
    <row r="14" customFormat="false" ht="15" hidden="false" customHeight="false" outlineLevel="0" collapsed="false">
      <c r="A14" s="12" t="s">
        <v>145</v>
      </c>
      <c r="B14" s="26" t="n">
        <f aca="false">Assumptions!$B$7</f>
        <v>668400</v>
      </c>
      <c r="C14" s="25" t="n">
        <f aca="false">B14*(1+C13)</f>
        <v>675084</v>
      </c>
      <c r="D14" s="25" t="n">
        <f aca="false">C14*(1+D13)</f>
        <v>681834.84</v>
      </c>
      <c r="E14" s="25" t="n">
        <f aca="false">D14*(1+E13)</f>
        <v>688653.1884</v>
      </c>
      <c r="F14" s="25" t="n">
        <f aca="false">E14*(1+F13)</f>
        <v>695539.720284</v>
      </c>
      <c r="G14" s="25" t="n">
        <f aca="false">F14*(1+G13)</f>
        <v>702495.11748684</v>
      </c>
      <c r="H14" s="25" t="n">
        <f aca="false">G14*(1+H13)</f>
        <v>709520.068661708</v>
      </c>
      <c r="I14" s="25" t="n">
        <f aca="false">H14*(1+I13)</f>
        <v>716615.269348325</v>
      </c>
      <c r="J14" s="25" t="n">
        <f aca="false">I14*(1+J13)</f>
        <v>723781.422041809</v>
      </c>
      <c r="K14" s="25" t="n">
        <f aca="false">J14*(1+K13)</f>
        <v>731019.236262227</v>
      </c>
    </row>
    <row r="15" customFormat="false" ht="15" hidden="false" customHeight="false" outlineLevel="0" collapsed="false">
      <c r="A15" s="12" t="s">
        <v>146</v>
      </c>
      <c r="B15" s="29" t="n">
        <f aca="false">B12/B14</f>
        <v>0.151406343506882</v>
      </c>
      <c r="C15" s="15" t="n">
        <f aca="false">IF(C14=0,0,C12/C14)</f>
        <v>0.152280086626257</v>
      </c>
      <c r="D15" s="15" t="n">
        <f aca="false">IF(D14=0,0,D12/D14)</f>
        <v>0.153218436210932</v>
      </c>
      <c r="E15" s="15" t="n">
        <f aca="false">IF(E14=0,0,E12/E14)</f>
        <v>0.154219682716558</v>
      </c>
      <c r="F15" s="15" t="n">
        <f aca="false">IF(F14=0,0,F12/F14)</f>
        <v>0.155282146314646</v>
      </c>
      <c r="G15" s="15" t="n">
        <f aca="false">IF(G14=0,0,G12/G14)</f>
        <v>0.156404176452379</v>
      </c>
      <c r="H15" s="15" t="n">
        <f aca="false">IF(H14=0,0,H12/H14)</f>
        <v>0.15758415141841</v>
      </c>
      <c r="I15" s="15" t="n">
        <f aca="false">IF(I14=0,0,I12/I14)</f>
        <v>0.158820477914569</v>
      </c>
      <c r="J15" s="15" t="n">
        <f aca="false">IF(J14=0,0,J12/J14)</f>
        <v>0.160111590633413</v>
      </c>
      <c r="K15" s="15" t="n">
        <f aca="false">IF(K14=0,0,K12/K14)</f>
        <v>0.161455951841534</v>
      </c>
    </row>
    <row r="16" customFormat="false" ht="15" hidden="false" customHeight="false" outlineLevel="0" collapsed="false">
      <c r="A16" s="12" t="s">
        <v>147</v>
      </c>
      <c r="B16" s="30" t="n">
        <f aca="false">Assumptions!$B$8</f>
        <v>1381</v>
      </c>
      <c r="C16" s="31" t="n">
        <f aca="false">B16+C10/Assumptions!$B$14</f>
        <v>1369.54961832061</v>
      </c>
      <c r="D16" s="31" t="n">
        <f aca="false">C16+D10/Assumptions!$B$14</f>
        <v>1358.09923664122</v>
      </c>
      <c r="E16" s="31" t="n">
        <f aca="false">D16+E10/Assumptions!$B$14</f>
        <v>1346.64885496183</v>
      </c>
      <c r="F16" s="31" t="n">
        <f aca="false">E16+F10/Assumptions!$B$14</f>
        <v>1335.19847328244</v>
      </c>
      <c r="G16" s="31" t="n">
        <f aca="false">F16+G10/Assumptions!$B$14</f>
        <v>1323.74809160305</v>
      </c>
      <c r="H16" s="31" t="n">
        <f aca="false">G16+H10/Assumptions!$B$14</f>
        <v>1312.29770992366</v>
      </c>
      <c r="I16" s="31" t="n">
        <f aca="false">H16+I10/Assumptions!$B$14</f>
        <v>1300.84732824428</v>
      </c>
      <c r="J16" s="31" t="n">
        <f aca="false">I16+J10/Assumptions!$B$14</f>
        <v>1289.39694656489</v>
      </c>
      <c r="K16" s="31" t="n">
        <f aca="false">J16+K10/Assumptions!$B$14</f>
        <v>1277.9465648855</v>
      </c>
    </row>
    <row r="17" customFormat="false" ht="15" hidden="false" customHeight="false" outlineLevel="0" collapsed="false">
      <c r="A17" s="12" t="s">
        <v>148</v>
      </c>
      <c r="C17" s="25" t="n">
        <f aca="false">C12-Assumptions!$B$21*C14</f>
        <v>15040.93</v>
      </c>
      <c r="D17" s="25" t="n">
        <f aca="false">D12-Assumptions!$B$21*D14</f>
        <v>15831.1387389313</v>
      </c>
      <c r="E17" s="25" t="n">
        <f aca="false">E12-Assumptions!$B$21*E14</f>
        <v>16678.9617247939</v>
      </c>
      <c r="F17" s="25" t="n">
        <f aca="false">F12-Assumptions!$B$21*F14</f>
        <v>17584.7369758678</v>
      </c>
      <c r="G17" s="25" t="n">
        <f aca="false">G12-Assumptions!$B$21*G14</f>
        <v>18548.8050390574</v>
      </c>
      <c r="H17" s="25" t="n">
        <f aca="false">H12-Assumptions!$B$21*H14</f>
        <v>19571.5090083652</v>
      </c>
      <c r="I17" s="25" t="n">
        <f aca="false">I12-Assumptions!$B$21*I14</f>
        <v>20653.1945434962</v>
      </c>
      <c r="J17" s="25" t="n">
        <f aca="false">J12-Assumptions!$B$21*J14</f>
        <v>21794.2098885922</v>
      </c>
      <c r="K17" s="25" t="n">
        <f aca="false">K12-Assumptions!$B$21*K14</f>
        <v>22994.9058910998</v>
      </c>
    </row>
    <row r="18" customFormat="false" ht="15" hidden="false" customHeight="false" outlineLevel="0" collapsed="false">
      <c r="A18" s="12" t="s">
        <v>149</v>
      </c>
      <c r="C18" s="25" t="n">
        <f aca="false">C12-Assumptions!$B$23*C14</f>
        <v>33943.282</v>
      </c>
      <c r="D18" s="25" t="n">
        <f aca="false">D12-Assumptions!$B$23*D14</f>
        <v>34922.5142589313</v>
      </c>
      <c r="E18" s="25" t="n">
        <f aca="false">E12-Assumptions!$B$23*E14</f>
        <v>35961.2509999939</v>
      </c>
      <c r="F18" s="25" t="n">
        <f aca="false">F12-Assumptions!$B$23*F14</f>
        <v>37059.8491438198</v>
      </c>
      <c r="G18" s="25" t="n">
        <f aca="false">G12-Assumptions!$B$23*G14</f>
        <v>38218.6683286889</v>
      </c>
      <c r="H18" s="25" t="n">
        <f aca="false">H12-Assumptions!$B$23*H14</f>
        <v>39438.0709308931</v>
      </c>
      <c r="I18" s="25" t="n">
        <f aca="false">I12-Assumptions!$B$23*I14</f>
        <v>40718.4220852493</v>
      </c>
      <c r="J18" s="25" t="n">
        <f aca="false">J12-Assumptions!$B$23*J14</f>
        <v>42060.0897057628</v>
      </c>
      <c r="K18" s="25" t="n">
        <f aca="false">K12-Assumptions!$B$23*K14</f>
        <v>43463.4445064422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126</v>
      </c>
      <c r="B5" s="11" t="s">
        <v>127</v>
      </c>
      <c r="C5" s="11" t="s">
        <v>128</v>
      </c>
      <c r="D5" s="11" t="s">
        <v>129</v>
      </c>
      <c r="E5" s="11" t="s">
        <v>130</v>
      </c>
      <c r="F5" s="11" t="s">
        <v>131</v>
      </c>
      <c r="G5" s="11" t="s">
        <v>132</v>
      </c>
      <c r="H5" s="11" t="s">
        <v>133</v>
      </c>
      <c r="I5" s="11" t="s">
        <v>134</v>
      </c>
      <c r="J5" s="11" t="s">
        <v>135</v>
      </c>
      <c r="K5" s="11" t="s">
        <v>136</v>
      </c>
    </row>
    <row r="6" customFormat="false" ht="15" hidden="false" customHeight="false" outlineLevel="0" collapsed="false">
      <c r="A6" s="12" t="s">
        <v>137</v>
      </c>
      <c r="C6" s="25" t="n">
        <f aca="false">B17</f>
        <v>101200</v>
      </c>
      <c r="D6" s="25" t="n">
        <f aca="false">C17</f>
        <v>95067.85</v>
      </c>
      <c r="E6" s="25" t="n">
        <f aca="false">D17</f>
        <v>93303.7</v>
      </c>
      <c r="F6" s="25" t="n">
        <f aca="false">E17</f>
        <v>91851.55</v>
      </c>
      <c r="G6" s="25" t="n">
        <f aca="false">F17</f>
        <v>90867.4</v>
      </c>
      <c r="H6" s="25" t="n">
        <f aca="false">G17</f>
        <v>90507.25</v>
      </c>
      <c r="I6" s="25" t="n">
        <f aca="false">H17</f>
        <v>90771.1</v>
      </c>
      <c r="J6" s="25" t="n">
        <f aca="false">I17</f>
        <v>91580.95</v>
      </c>
      <c r="K6" s="25" t="n">
        <f aca="false">J17</f>
        <v>92780.8000000001</v>
      </c>
    </row>
    <row r="7" customFormat="false" ht="15" hidden="false" customHeight="false" outlineLevel="0" collapsed="false">
      <c r="A7" s="12" t="s">
        <v>152</v>
      </c>
      <c r="C7" s="18" t="n">
        <v>7400</v>
      </c>
      <c r="D7" s="18" t="n">
        <v>7100</v>
      </c>
      <c r="E7" s="18" t="n">
        <v>6800</v>
      </c>
      <c r="F7" s="18" t="n">
        <v>6600</v>
      </c>
      <c r="G7" s="18" t="n">
        <v>6500</v>
      </c>
      <c r="H7" s="18" t="n">
        <v>6600</v>
      </c>
      <c r="I7" s="18" t="n">
        <v>6800</v>
      </c>
      <c r="J7" s="18" t="n">
        <v>7000</v>
      </c>
      <c r="K7" s="18" t="n">
        <v>7200</v>
      </c>
    </row>
    <row r="8" customFormat="false" ht="15" hidden="false" customHeight="false" outlineLevel="0" collapsed="false">
      <c r="A8" s="12" t="s">
        <v>153</v>
      </c>
      <c r="C8" s="18" t="n">
        <v>-7300</v>
      </c>
      <c r="D8" s="18" t="n">
        <v>-6800</v>
      </c>
      <c r="E8" s="18" t="n">
        <v>-6100</v>
      </c>
      <c r="F8" s="18" t="n">
        <v>-5300</v>
      </c>
      <c r="G8" s="18" t="n">
        <v>-4400</v>
      </c>
      <c r="H8" s="18" t="n">
        <v>-3700</v>
      </c>
      <c r="I8" s="18" t="n">
        <v>-3200</v>
      </c>
      <c r="J8" s="18" t="n">
        <v>-2900</v>
      </c>
      <c r="K8" s="18" t="n">
        <v>-2700</v>
      </c>
    </row>
    <row r="9" customFormat="false" ht="15" hidden="false" customHeight="false" outlineLevel="0" collapsed="false">
      <c r="A9" s="12" t="s">
        <v>154</v>
      </c>
      <c r="C9" s="18" t="n">
        <v>-5400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</row>
    <row r="10" customFormat="false" ht="15" hidden="false" customHeight="false" outlineLevel="0" collapsed="false">
      <c r="A10" s="12" t="s">
        <v>155</v>
      </c>
      <c r="C10" s="25" t="n">
        <f aca="false">SUM(C7:C9)</f>
        <v>-5300</v>
      </c>
      <c r="D10" s="25" t="n">
        <f aca="false">SUM(D7:D9)</f>
        <v>300</v>
      </c>
      <c r="E10" s="25" t="n">
        <f aca="false">SUM(E7:E9)</f>
        <v>700</v>
      </c>
      <c r="F10" s="25" t="n">
        <f aca="false">SUM(F7:F9)</f>
        <v>1300</v>
      </c>
      <c r="G10" s="25" t="n">
        <f aca="false">SUM(G7:G9)</f>
        <v>2100</v>
      </c>
      <c r="H10" s="25" t="n">
        <f aca="false">SUM(H7:H9)</f>
        <v>2900</v>
      </c>
      <c r="I10" s="25" t="n">
        <f aca="false">SUM(I7:I9)</f>
        <v>3600</v>
      </c>
      <c r="J10" s="25" t="n">
        <f aca="false">SUM(J7:J9)</f>
        <v>4100</v>
      </c>
      <c r="K10" s="25" t="n">
        <f aca="false">SUM(K7:K9)</f>
        <v>4500</v>
      </c>
    </row>
    <row r="11" customFormat="false" ht="15" hidden="false" customHeight="false" outlineLevel="0" collapsed="false">
      <c r="A11" s="12" t="s">
        <v>156</v>
      </c>
      <c r="C11" s="25" t="n">
        <f aca="false">-C10*Assumptions!$B$17</f>
        <v>1166</v>
      </c>
      <c r="D11" s="25" t="n">
        <f aca="false">-D10*Assumptions!$B$17</f>
        <v>-66</v>
      </c>
      <c r="E11" s="25" t="n">
        <f aca="false">-E10*Assumptions!$B$17</f>
        <v>-154</v>
      </c>
      <c r="F11" s="25" t="n">
        <f aca="false">-F10*Assumptions!$B$17</f>
        <v>-286</v>
      </c>
      <c r="G11" s="25" t="n">
        <f aca="false">-G10*Assumptions!$B$17</f>
        <v>-462</v>
      </c>
      <c r="H11" s="25" t="n">
        <f aca="false">-H10*Assumptions!$B$17</f>
        <v>-638</v>
      </c>
      <c r="I11" s="25" t="n">
        <f aca="false">-I10*Assumptions!$B$17</f>
        <v>-792</v>
      </c>
      <c r="J11" s="25" t="n">
        <f aca="false">-J10*Assumptions!$B$17</f>
        <v>-902</v>
      </c>
      <c r="K11" s="25" t="n">
        <f aca="false">-K10*Assumptions!$B$17</f>
        <v>-990</v>
      </c>
    </row>
    <row r="12" customFormat="false" ht="15" hidden="false" customHeight="false" outlineLevel="0" collapsed="false">
      <c r="A12" s="12" t="s">
        <v>138</v>
      </c>
      <c r="C12" s="25" t="n">
        <f aca="false">C10+C11</f>
        <v>-4134</v>
      </c>
      <c r="D12" s="25" t="n">
        <f aca="false">D10+D11</f>
        <v>234</v>
      </c>
      <c r="E12" s="25" t="n">
        <f aca="false">E10+E11</f>
        <v>546</v>
      </c>
      <c r="F12" s="25" t="n">
        <f aca="false">F10+F11</f>
        <v>1014</v>
      </c>
      <c r="G12" s="25" t="n">
        <f aca="false">G10+G11</f>
        <v>1638</v>
      </c>
      <c r="H12" s="25" t="n">
        <f aca="false">H10+H11</f>
        <v>2262</v>
      </c>
      <c r="I12" s="25" t="n">
        <f aca="false">I10+I11</f>
        <v>2808</v>
      </c>
      <c r="J12" s="25" t="n">
        <f aca="false">J10+J11</f>
        <v>3198</v>
      </c>
      <c r="K12" s="25" t="n">
        <f aca="false">K10+K11</f>
        <v>3510</v>
      </c>
    </row>
    <row r="13" customFormat="false" ht="15" hidden="false" customHeight="false" outlineLevel="0" collapsed="false">
      <c r="A13" s="12" t="s">
        <v>139</v>
      </c>
      <c r="C13" s="26" t="n">
        <f aca="false">-Assumptions!$B$11</f>
        <v>-260</v>
      </c>
      <c r="D13" s="26" t="n">
        <f aca="false">-Assumptions!$B$11</f>
        <v>-260</v>
      </c>
      <c r="E13" s="26" t="n">
        <f aca="false">-Assumptions!$B$11</f>
        <v>-260</v>
      </c>
      <c r="F13" s="26" t="n">
        <f aca="false">-Assumptions!$B$11</f>
        <v>-260</v>
      </c>
      <c r="G13" s="26" t="n">
        <f aca="false">-Assumptions!$B$11</f>
        <v>-260</v>
      </c>
      <c r="H13" s="26" t="n">
        <f aca="false">-Assumptions!$B$11</f>
        <v>-260</v>
      </c>
      <c r="I13" s="26" t="n">
        <f aca="false">-Assumptions!$B$11</f>
        <v>-260</v>
      </c>
      <c r="J13" s="26" t="n">
        <f aca="false">-Assumptions!$B$11</f>
        <v>-260</v>
      </c>
      <c r="K13" s="26" t="n">
        <f aca="false">-Assumptions!$B$11</f>
        <v>-260</v>
      </c>
    </row>
    <row r="14" customFormat="false" ht="15" hidden="false" customHeight="false" outlineLevel="0" collapsed="false">
      <c r="A14" s="12" t="s">
        <v>140</v>
      </c>
      <c r="C14" s="25" t="n">
        <f aca="false">-B21*Assumptions!$B$12</f>
        <v>-1588.15</v>
      </c>
      <c r="D14" s="25" t="n">
        <f aca="false">-C21*Assumptions!$B$12</f>
        <v>-1588.15</v>
      </c>
      <c r="E14" s="25" t="n">
        <f aca="false">-D21*Assumptions!$B$12</f>
        <v>-1588.15</v>
      </c>
      <c r="F14" s="25" t="n">
        <f aca="false">-E21*Assumptions!$B$12</f>
        <v>-1588.15</v>
      </c>
      <c r="G14" s="25" t="n">
        <f aca="false">-F21*Assumptions!$B$12</f>
        <v>-1588.15</v>
      </c>
      <c r="H14" s="25" t="n">
        <f aca="false">-G21*Assumptions!$B$12</f>
        <v>-1588.15</v>
      </c>
      <c r="I14" s="25" t="n">
        <f aca="false">-H21*Assumptions!$B$12</f>
        <v>-1588.15</v>
      </c>
      <c r="J14" s="25" t="n">
        <f aca="false">-I21*Assumptions!$B$12</f>
        <v>-1588.15</v>
      </c>
      <c r="K14" s="25" t="n">
        <f aca="false">-J21*Assumptions!$B$12</f>
        <v>-1588.15</v>
      </c>
    </row>
    <row r="15" customFormat="false" ht="15" hidden="false" customHeight="false" outlineLevel="0" collapsed="false">
      <c r="A15" s="12" t="s">
        <v>141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</row>
    <row r="16" customFormat="false" ht="15" hidden="false" customHeight="false" outlineLevel="0" collapsed="false">
      <c r="A16" s="12" t="s">
        <v>142</v>
      </c>
      <c r="C16" s="26" t="n">
        <f aca="false">Assumptions!$B$16</f>
        <v>-150</v>
      </c>
      <c r="D16" s="26" t="n">
        <f aca="false">Assumptions!$B$16</f>
        <v>-150</v>
      </c>
      <c r="E16" s="26" t="n">
        <f aca="false">Assumptions!$B$16</f>
        <v>-150</v>
      </c>
      <c r="F16" s="26" t="n">
        <f aca="false">Assumptions!$B$16</f>
        <v>-150</v>
      </c>
      <c r="G16" s="26" t="n">
        <f aca="false">Assumptions!$B$16</f>
        <v>-150</v>
      </c>
      <c r="H16" s="26" t="n">
        <f aca="false">Assumptions!$B$16</f>
        <v>-150</v>
      </c>
      <c r="I16" s="26" t="n">
        <f aca="false">Assumptions!$B$16</f>
        <v>-150</v>
      </c>
      <c r="J16" s="26" t="n">
        <f aca="false">Assumptions!$B$16</f>
        <v>-150</v>
      </c>
      <c r="K16" s="26" t="n">
        <f aca="false">Assumptions!$B$16</f>
        <v>-150</v>
      </c>
    </row>
    <row r="17" customFormat="false" ht="15" hidden="false" customHeight="false" outlineLevel="0" collapsed="false">
      <c r="A17" s="12" t="s">
        <v>143</v>
      </c>
      <c r="B17" s="26" t="n">
        <f aca="false">Assumptions!$B$6</f>
        <v>101200</v>
      </c>
      <c r="C17" s="27" t="n">
        <f aca="false">C6+C12+C13+C14+C15+C16</f>
        <v>95067.85</v>
      </c>
      <c r="D17" s="27" t="n">
        <f aca="false">D6+D12+D13+D14+D15+D16</f>
        <v>93303.7</v>
      </c>
      <c r="E17" s="27" t="n">
        <f aca="false">E6+E12+E13+E14+E15+E16</f>
        <v>91851.55</v>
      </c>
      <c r="F17" s="27" t="n">
        <f aca="false">F6+F12+F13+F14+F15+F16</f>
        <v>90867.4</v>
      </c>
      <c r="G17" s="27" t="n">
        <f aca="false">G6+G12+G13+G14+G15+G16</f>
        <v>90507.25</v>
      </c>
      <c r="H17" s="27" t="n">
        <f aca="false">H6+H12+H13+H14+H15+H16</f>
        <v>90771.1</v>
      </c>
      <c r="I17" s="27" t="n">
        <f aca="false">I6+I12+I13+I14+I15+I16</f>
        <v>91580.95</v>
      </c>
      <c r="J17" s="27" t="n">
        <f aca="false">J6+J12+J13+J14+J15+J16</f>
        <v>92780.8000000001</v>
      </c>
      <c r="K17" s="27" t="n">
        <f aca="false">K6+K12+K13+K14+K15+K16</f>
        <v>94292.6500000001</v>
      </c>
    </row>
    <row r="18" customFormat="false" ht="15" hidden="false" customHeight="false" outlineLevel="0" collapsed="false">
      <c r="A18" s="12" t="s">
        <v>144</v>
      </c>
      <c r="C18" s="21" t="n">
        <v>0.022</v>
      </c>
      <c r="D18" s="21" t="n">
        <v>0.015</v>
      </c>
      <c r="E18" s="21" t="n">
        <v>0.008</v>
      </c>
      <c r="F18" s="21" t="n">
        <v>0.004</v>
      </c>
      <c r="G18" s="21" t="n">
        <v>0</v>
      </c>
      <c r="H18" s="21" t="n">
        <v>-0.002</v>
      </c>
      <c r="I18" s="21" t="n">
        <v>-0.004</v>
      </c>
      <c r="J18" s="21" t="n">
        <v>-0.004</v>
      </c>
      <c r="K18" s="21" t="n">
        <v>-0.004</v>
      </c>
    </row>
    <row r="19" customFormat="false" ht="15" hidden="false" customHeight="false" outlineLevel="0" collapsed="false">
      <c r="A19" s="12" t="s">
        <v>145</v>
      </c>
      <c r="B19" s="26" t="n">
        <f aca="false">Assumptions!$B$7</f>
        <v>668400</v>
      </c>
      <c r="C19" s="25" t="n">
        <f aca="false">B19*(1+C18)</f>
        <v>683104.8</v>
      </c>
      <c r="D19" s="25" t="n">
        <f aca="false">C19*(1+D18)</f>
        <v>693351.372</v>
      </c>
      <c r="E19" s="25" t="n">
        <f aca="false">D19*(1+E18)</f>
        <v>698898.182976</v>
      </c>
      <c r="F19" s="25" t="n">
        <f aca="false">E19*(1+F18)</f>
        <v>701693.775707904</v>
      </c>
      <c r="G19" s="25" t="n">
        <f aca="false">F19*(1+G18)</f>
        <v>701693.775707904</v>
      </c>
      <c r="H19" s="25" t="n">
        <f aca="false">G19*(1+H18)</f>
        <v>700290.388156488</v>
      </c>
      <c r="I19" s="25" t="n">
        <f aca="false">H19*(1+I18)</f>
        <v>697489.226603862</v>
      </c>
      <c r="J19" s="25" t="n">
        <f aca="false">I19*(1+J18)</f>
        <v>694699.269697447</v>
      </c>
      <c r="K19" s="25" t="n">
        <f aca="false">J19*(1+K18)</f>
        <v>691920.472618657</v>
      </c>
    </row>
    <row r="20" customFormat="false" ht="15" hidden="false" customHeight="false" outlineLevel="0" collapsed="false">
      <c r="A20" s="12" t="s">
        <v>146</v>
      </c>
      <c r="B20" s="29" t="n">
        <f aca="false">B17/B19</f>
        <v>0.151406343506882</v>
      </c>
      <c r="C20" s="15" t="n">
        <f aca="false">IF(C19=0,0,C17/C19)</f>
        <v>0.139170226881732</v>
      </c>
      <c r="D20" s="15" t="n">
        <f aca="false">IF(D19=0,0,D17/D19)</f>
        <v>0.134569143103967</v>
      </c>
      <c r="E20" s="15" t="n">
        <f aca="false">IF(E19=0,0,E17/E19)</f>
        <v>0.131423363570476</v>
      </c>
      <c r="F20" s="15" t="n">
        <f aca="false">IF(F19=0,0,F17/F19)</f>
        <v>0.129497229626027</v>
      </c>
      <c r="G20" s="15" t="n">
        <f aca="false">IF(G19=0,0,G17/G19)</f>
        <v>0.128983971546123</v>
      </c>
      <c r="H20" s="15" t="n">
        <f aca="false">IF(H19=0,0,H17/H19)</f>
        <v>0.129619228730177</v>
      </c>
      <c r="I20" s="15" t="n">
        <f aca="false">IF(I19=0,0,I17/I19)</f>
        <v>0.131300881084452</v>
      </c>
      <c r="J20" s="15" t="n">
        <f aca="false">IF(J19=0,0,J17/J19)</f>
        <v>0.133555344084941</v>
      </c>
      <c r="K20" s="15" t="n">
        <f aca="false">IF(K19=0,0,K17/K19)</f>
        <v>0.136276716373398</v>
      </c>
    </row>
    <row r="21" customFormat="false" ht="15" hidden="false" customHeight="false" outlineLevel="0" collapsed="false">
      <c r="A21" s="12" t="s">
        <v>147</v>
      </c>
      <c r="B21" s="30" t="n">
        <f aca="false">Assumptions!$B$8</f>
        <v>1381</v>
      </c>
      <c r="C21" s="31" t="n">
        <f aca="false">B21+C15/Assumptions!$B$14</f>
        <v>1381</v>
      </c>
      <c r="D21" s="31" t="n">
        <f aca="false">C21+D15/Assumptions!$B$14</f>
        <v>1381</v>
      </c>
      <c r="E21" s="31" t="n">
        <f aca="false">D21+E15/Assumptions!$B$14</f>
        <v>1381</v>
      </c>
      <c r="F21" s="31" t="n">
        <f aca="false">E21+F15/Assumptions!$B$14</f>
        <v>1381</v>
      </c>
      <c r="G21" s="31" t="n">
        <f aca="false">F21+G15/Assumptions!$B$14</f>
        <v>1381</v>
      </c>
      <c r="H21" s="31" t="n">
        <f aca="false">G21+H15/Assumptions!$B$14</f>
        <v>1381</v>
      </c>
      <c r="I21" s="31" t="n">
        <f aca="false">H21+I15/Assumptions!$B$14</f>
        <v>1381</v>
      </c>
      <c r="J21" s="31" t="n">
        <f aca="false">I21+J15/Assumptions!$B$14</f>
        <v>1381</v>
      </c>
      <c r="K21" s="31" t="n">
        <f aca="false">J21+K15/Assumptions!$B$14</f>
        <v>1381</v>
      </c>
    </row>
    <row r="22" customFormat="false" ht="15" hidden="false" customHeight="false" outlineLevel="0" collapsed="false">
      <c r="A22" s="12" t="s">
        <v>148</v>
      </c>
      <c r="C22" s="25" t="n">
        <f aca="false">C17-Assumptions!$B$21*C19</f>
        <v>6264.226</v>
      </c>
      <c r="D22" s="25" t="n">
        <f aca="false">D17-Assumptions!$B$21*D19</f>
        <v>3168.02164000001</v>
      </c>
      <c r="E22" s="25" t="n">
        <f aca="false">E17-Assumptions!$B$21*E19</f>
        <v>994.786213120009</v>
      </c>
      <c r="F22" s="25" t="n">
        <f aca="false">F17-Assumptions!$B$21*F19</f>
        <v>-352.790842027505</v>
      </c>
      <c r="G22" s="25" t="n">
        <f aca="false">G17-Assumptions!$B$21*G19</f>
        <v>-712.9408420275</v>
      </c>
      <c r="H22" s="25" t="n">
        <f aca="false">H17-Assumptions!$B$21*H19</f>
        <v>-266.65046034343</v>
      </c>
      <c r="I22" s="25" t="n">
        <f aca="false">I17-Assumptions!$B$21*I19</f>
        <v>907.350541497945</v>
      </c>
      <c r="J22" s="25" t="n">
        <f aca="false">J17-Assumptions!$B$21*J19</f>
        <v>2469.89493933195</v>
      </c>
      <c r="K22" s="25" t="n">
        <f aca="false">K17-Assumptions!$B$21*K19</f>
        <v>4342.98855957463</v>
      </c>
    </row>
    <row r="23" customFormat="false" ht="15" hidden="false" customHeight="false" outlineLevel="0" collapsed="false">
      <c r="A23" s="12" t="s">
        <v>149</v>
      </c>
      <c r="C23" s="25" t="n">
        <f aca="false">C17-Assumptions!$B$23*C19</f>
        <v>25391.1604</v>
      </c>
      <c r="D23" s="25" t="n">
        <f aca="false">D17-Assumptions!$B$23*D19</f>
        <v>22581.860056</v>
      </c>
      <c r="E23" s="25" t="n">
        <f aca="false">E17-Assumptions!$B$23*E19</f>
        <v>20563.935336448</v>
      </c>
      <c r="F23" s="25" t="n">
        <f aca="false">F17-Assumptions!$B$23*F19</f>
        <v>19294.6348777938</v>
      </c>
      <c r="G23" s="25" t="n">
        <f aca="false">G17-Assumptions!$B$23*G19</f>
        <v>18934.4848777938</v>
      </c>
      <c r="H23" s="25" t="n">
        <f aca="false">H17-Assumptions!$B$23*H19</f>
        <v>19341.4804080382</v>
      </c>
      <c r="I23" s="25" t="n">
        <f aca="false">I17-Assumptions!$B$23*I19</f>
        <v>20437.0488864061</v>
      </c>
      <c r="J23" s="25" t="n">
        <f aca="false">J17-Assumptions!$B$23*J19</f>
        <v>21921.4744908605</v>
      </c>
      <c r="K23" s="25" t="n">
        <f aca="false">K17-Assumptions!$B$23*K19</f>
        <v>23716.761792897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2026-10-04T07:39:09Z</dcterms:created>
  <dc:creator>openpyxl</dc:creator>
  <dc:description/>
  <dc:language>en-US</dc:language>
  <cp:lastModifiedBy/>
  <dcterms:modified xsi:type="dcterms:W3CDTF">2026-10-04T07:39:09Z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