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owance_Summary" sheetId="1" state="visible" r:id="rId3"/>
    <sheet name="README" sheetId="2" state="visible" r:id="rId4"/>
    <sheet name="Scenarios" sheetId="3" state="visible" r:id="rId5"/>
    <sheet name="Segment_Inputs" sheetId="4" state="visible" r:id="rId6"/>
    <sheet name="ECL_Calc" sheetId="5" state="visible" r:id="rId7"/>
    <sheet name="Sensitiv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6" authorId="0">
      <text>
        <r>
          <rPr>
            <sz val="10"/>
            <rFont val="Arial"/>
            <family val="2"/>
          </rPr>
          <t xml:space="preserve">Management qualitative adjustment approved by the Allowance Committee (Dec-2025): captures model limitations, concentration and emerging-risk factors.</t>
        </r>
      </text>
    </comment>
    <comment ref="F7" authorId="0">
      <text>
        <r>
          <rPr>
            <sz val="10"/>
            <rFont val="Arial"/>
            <family val="2"/>
          </rPr>
          <t xml:space="preserve">Management qualitative adjustment approved by the Allowance Committee (Dec-2025): captures model limitations, concentration and emerging-risk factors.</t>
        </r>
      </text>
    </comment>
    <comment ref="F8" authorId="0">
      <text>
        <r>
          <rPr>
            <sz val="10"/>
            <rFont val="Arial"/>
            <family val="2"/>
          </rPr>
          <t xml:space="preserve">Management qualitative adjustment approved by the Allowance Committee (Dec-2025): captures model limitations, concentration and emerging-risk factors.</t>
        </r>
      </text>
    </comment>
    <comment ref="F9" authorId="0">
      <text>
        <r>
          <rPr>
            <sz val="10"/>
            <rFont val="Arial"/>
            <family val="2"/>
          </rPr>
          <t xml:space="preserve">Management qualitative adjustment approved by the Allowance Committee (Dec-2025): captures model limitations, concentration and emerging-risk factors.</t>
        </r>
      </text>
    </comment>
    <comment ref="F10" authorId="0">
      <text>
        <r>
          <rPr>
            <sz val="10"/>
            <rFont val="Arial"/>
            <family val="2"/>
          </rPr>
          <t xml:space="preserve">Management qualitative adjustment approved by the Allowance Committee (Dec-2025): captures model limitations, concentration and emerging-risk factors.</t>
        </r>
      </text>
    </comment>
    <comment ref="F11" authorId="0">
      <text>
        <r>
          <rPr>
            <sz val="10"/>
            <rFont val="Arial"/>
            <family val="2"/>
          </rPr>
          <t xml:space="preserve">Management qualitative adjustment approved by the Allowance Committee (Dec-2025): captures model limitations, concentration and emerging-risk factors.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6" authorId="0">
      <text>
        <r>
          <rPr>
            <sz val="10"/>
            <rFont val="Arial"/>
            <family val="2"/>
          </rPr>
          <t xml:space="preserve">Reported in Annual Report Note 6 (Allowance for Credit Losses).</t>
        </r>
      </text>
    </comment>
    <comment ref="K7" authorId="0">
      <text>
        <r>
          <rPr>
            <sz val="10"/>
            <rFont val="Arial"/>
            <family val="2"/>
          </rPr>
          <t xml:space="preserve">Reported in Annual Report Note 6 (Allowance for Credit Losses).</t>
        </r>
      </text>
    </comment>
    <comment ref="K8" authorId="0">
      <text>
        <r>
          <rPr>
            <sz val="10"/>
            <rFont val="Arial"/>
            <family val="2"/>
          </rPr>
          <t xml:space="preserve">Reported in Annual Report Note 6 (Allowance for Credit Losses).</t>
        </r>
      </text>
    </comment>
    <comment ref="K9" authorId="0">
      <text>
        <r>
          <rPr>
            <sz val="10"/>
            <rFont val="Arial"/>
            <family val="2"/>
          </rPr>
          <t xml:space="preserve">Reported in Annual Report Note 6 (Allowance for Credit Losses).</t>
        </r>
      </text>
    </comment>
    <comment ref="K10" authorId="0">
      <text>
        <r>
          <rPr>
            <sz val="10"/>
            <rFont val="Arial"/>
            <family val="2"/>
          </rPr>
          <t xml:space="preserve">Reported in Annual Report Note 6 (Allowance for Credit Losses).</t>
        </r>
      </text>
    </comment>
    <comment ref="K11" authorId="0">
      <text>
        <r>
          <rPr>
            <sz val="10"/>
            <rFont val="Arial"/>
            <family val="2"/>
          </rPr>
          <t xml:space="preserve">Reported in Annual Report Note 6 (Allowance for Credit Losses).</t>
        </r>
      </text>
    </comment>
  </commentList>
</comments>
</file>

<file path=xl/sharedStrings.xml><?xml version="1.0" encoding="utf-8"?>
<sst xmlns="http://schemas.openxmlformats.org/spreadsheetml/2006/main" count="183" uniqueCount="144">
  <si>
    <t xml:space="preserve">Allowance for Loan Losses - Summary and Reconciliation</t>
  </si>
  <si>
    <t xml:space="preserve">Feeds Annual Report Note 6 and the earnings supplement</t>
  </si>
  <si>
    <t xml:space="preserve">SYNTHETIC DOCUMENT FOR A PROOF OF CONCEPT. Meridian Harbor Financial Corp. is a fictional institution. All names, figures and events are invented and do not describe any real company.</t>
  </si>
  <si>
    <t xml:space="preserve">Segment</t>
  </si>
  <si>
    <t xml:space="preserve">Upside ECL</t>
  </si>
  <si>
    <t xml:space="preserve">Baseline ECL</t>
  </si>
  <si>
    <t xml:space="preserve">Downside ECL</t>
  </si>
  <si>
    <t xml:space="preserve">Weighted (modeled) ($mm)</t>
  </si>
  <si>
    <t xml:space="preserve">Qualitative overlay ($mm)</t>
  </si>
  <si>
    <t xml:space="preserve">Total allowance ($mm)</t>
  </si>
  <si>
    <t xml:space="preserve">Reported allowance ($mm)</t>
  </si>
  <si>
    <t xml:space="preserve">Difference</t>
  </si>
  <si>
    <t xml:space="preserve">Overlay % of modeled</t>
  </si>
  <si>
    <t xml:space="preserve">Allowance / loans</t>
  </si>
  <si>
    <t xml:space="preserve">Coverage of NCOs (yrs)</t>
  </si>
  <si>
    <t xml:space="preserve">Total</t>
  </si>
  <si>
    <t xml:space="preserve">Overlay control check (|overlay| &lt;= 15% of modeled per segment)</t>
  </si>
  <si>
    <t xml:space="preserve">CECL Lifetime Expected Credit Loss Model  (MDL-CR-007)</t>
  </si>
  <si>
    <t xml:space="preserve">Meridian Harbor Financial Corp. - model documentation sheet</t>
  </si>
  <si>
    <t xml:space="preserve">Model ID</t>
  </si>
  <si>
    <t xml:space="preserve">MDL-CR-007</t>
  </si>
  <si>
    <t xml:space="preserve">Model name</t>
  </si>
  <si>
    <t xml:space="preserve">CECL Lifetime Expected Credit Loss Model</t>
  </si>
  <si>
    <t xml:space="preserve">Risk tier</t>
  </si>
  <si>
    <t xml:space="preserve">Tier 1 (High)</t>
  </si>
  <si>
    <t xml:space="preserve">Model owner</t>
  </si>
  <si>
    <t xml:space="preserve">Consumer &amp; Wholesale Credit Risk - Allowance Methodology</t>
  </si>
  <si>
    <t xml:space="preserve">Independent validator</t>
  </si>
  <si>
    <t xml:space="preserve">Model Risk Governance &amp; Review (MRGR)</t>
  </si>
  <si>
    <t xml:space="preserve">Last validation</t>
  </si>
  <si>
    <t xml:space="preserve">2025-11-04</t>
  </si>
  <si>
    <t xml:space="preserve">Next validation due</t>
  </si>
  <si>
    <t xml:space="preserve">2026-11-30</t>
  </si>
  <si>
    <t xml:space="preserve">Purpose</t>
  </si>
  <si>
    <t xml:space="preserve">Estimates the allowance for credit losses under ASC 326 (CECL) using probability-weighted macroeconomic scenarios and PD x LGD x EAD.</t>
  </si>
  <si>
    <t xml:space="preserve">Upstream data feeds (APIs)</t>
  </si>
  <si>
    <t xml:space="preserve">API-10 Credit Risk Scoring API; API-11 Loan Servicing API; API-14 Macroeconomic Scenario API</t>
  </si>
  <si>
    <t xml:space="preserve">Downstream disclosures</t>
  </si>
  <si>
    <t xml:space="preserve">Annual Report - Allowance for Credit Losses (Note 6); Q2 2026 Earnings Supplement - Credit Trends</t>
  </si>
  <si>
    <t xml:space="preserve">Units</t>
  </si>
  <si>
    <t xml:space="preserve">USD millions unless stated otherwise; rates stored as decimals</t>
  </si>
  <si>
    <t xml:space="preserve">As-of date</t>
  </si>
  <si>
    <t xml:space="preserve">See Assumptions sheet</t>
  </si>
  <si>
    <t xml:space="preserve">Sheets</t>
  </si>
  <si>
    <t xml:space="preserve">Scenarios</t>
  </si>
  <si>
    <t xml:space="preserve">Probability-weighted macroeconomic scenarios (Upside / Baseline / Downside).</t>
  </si>
  <si>
    <t xml:space="preserve">Segment_Inputs</t>
  </si>
  <si>
    <t xml:space="preserve">Exposure at default, remaining life, PD and LGD parameters and macro sensitivities.</t>
  </si>
  <si>
    <t xml:space="preserve">ECL_Calc</t>
  </si>
  <si>
    <t xml:space="preserve">Scenario-conditional lifetime expected credit loss by segment.</t>
  </si>
  <si>
    <t xml:space="preserve">Allowance_Summary</t>
  </si>
  <si>
    <t xml:space="preserve">Probability-weighted allowance, qualitative overlay, reconciliation to the reported allowance and coverage metrics.</t>
  </si>
  <si>
    <t xml:space="preserve">Sensitivity</t>
  </si>
  <si>
    <t xml:space="preserve">Allowance under 100% weight on each single scenario.</t>
  </si>
  <si>
    <t xml:space="preserve">How the model works</t>
  </si>
  <si>
    <t xml:space="preserve">1.</t>
  </si>
  <si>
    <t xml:space="preserve">Scenario PD = base annual PD x (1 + elasticity x (scenario peak unemployment - baseline unemployment) x 100), floored at 0.</t>
  </si>
  <si>
    <t xml:space="preserve">2.</t>
  </si>
  <si>
    <t xml:space="preserve">Lifetime PD = 1 - (1 - scenario PD) ^ remaining life (years).</t>
  </si>
  <si>
    <t xml:space="preserve">3.</t>
  </si>
  <si>
    <t xml:space="preserve">Scenario LGD = base LGD x (1 - LGD sensitivity x collateral price change), capped at 100%. Mortgages use the house price index (HPI); CRE uses the commercial property price index.</t>
  </si>
  <si>
    <t xml:space="preserve">4.</t>
  </si>
  <si>
    <t xml:space="preserve">Scenario ECL = EAD x lifetime PD x scenario LGD. Modeled allowance = sum of scenario weight x ECL.</t>
  </si>
  <si>
    <t xml:space="preserve">5.</t>
  </si>
  <si>
    <t xml:space="preserve">Total allowance = modeled allowance + qualitative overlay approved by the Allowance Committee.</t>
  </si>
  <si>
    <t xml:space="preserve">Key inputs</t>
  </si>
  <si>
    <t xml:space="preserve">Loan balances (EAD) and remaining life from API-11 Loan Servicing API.</t>
  </si>
  <si>
    <t xml:space="preserve">PD and LGD parameters from API-10 Credit Risk Scoring API (pool-level, refreshed quarterly).</t>
  </si>
  <si>
    <t xml:space="preserve">Scenario paths and weights from API-14 Macroeconomic Scenario API (approved by the Scenario Committee).</t>
  </si>
  <si>
    <t xml:space="preserve">Key outputs</t>
  </si>
  <si>
    <t xml:space="preserve">Allowance for loan losses by portfolio segment and in total.</t>
  </si>
  <si>
    <t xml:space="preserve">Allowance coverage ratio (allowance / loans) and coverage of annual net charge-offs.</t>
  </si>
  <si>
    <t xml:space="preserve">Sensitivity of the allowance to a 100% Downside weighting.</t>
  </si>
  <si>
    <t xml:space="preserve">Limits, controls and known limitations</t>
  </si>
  <si>
    <t xml:space="preserve">Simplified pool-level approach for demonstration; production model uses loan-level cash flows.</t>
  </si>
  <si>
    <t xml:space="preserve">Unfunded commitments (off-balance-sheet allowance) are excluded.</t>
  </si>
  <si>
    <t xml:space="preserve">Qualitative overlays must be documented and fall within +/-15% of the modeled allowance per segment.</t>
  </si>
  <si>
    <t xml:space="preserve">Scenario weights must sum to 100% (check cell on Scenarios sheet).</t>
  </si>
  <si>
    <t xml:space="preserve">Colour legend</t>
  </si>
  <si>
    <t xml:space="preserve">Blue text = hard-coded input / scenario lever</t>
  </si>
  <si>
    <t xml:space="preserve">Black text = formula</t>
  </si>
  <si>
    <t xml:space="preserve">Green text = link to another sheet</t>
  </si>
  <si>
    <t xml:space="preserve">Yellow fill = key assumption</t>
  </si>
  <si>
    <t xml:space="preserve">Macroeconomic Scenarios</t>
  </si>
  <si>
    <t xml:space="preserve">Source: API-14 Macroeconomic Scenario API, scenario set MSC-2025Q4</t>
  </si>
  <si>
    <t xml:space="preserve">Scenario</t>
  </si>
  <si>
    <t xml:space="preserve">Weight</t>
  </si>
  <si>
    <t xml:space="preserve">Peak unemployment</t>
  </si>
  <si>
    <t xml:space="preserve">Real GDP growth 2026</t>
  </si>
  <si>
    <t xml:space="preserve">House price index chg</t>
  </si>
  <si>
    <t xml:space="preserve">CRE price index chg</t>
  </si>
  <si>
    <t xml:space="preserve">Upside</t>
  </si>
  <si>
    <t xml:space="preserve">Baseline</t>
  </si>
  <si>
    <t xml:space="preserve">Downside</t>
  </si>
  <si>
    <t xml:space="preserve">Weight check</t>
  </si>
  <si>
    <t xml:space="preserve">Baseline unemployment (anchor)</t>
  </si>
  <si>
    <t xml:space="preserve">Portfolio Segment Inputs</t>
  </si>
  <si>
    <t xml:space="preserve">Balances $mm at 2025-12-31</t>
  </si>
  <si>
    <t xml:space="preserve">Owning LOB</t>
  </si>
  <si>
    <t xml:space="preserve">EAD / balance ($mm)</t>
  </si>
  <si>
    <t xml:space="preserve">Remaining life (yrs)</t>
  </si>
  <si>
    <t xml:space="preserve">Base annual PD</t>
  </si>
  <si>
    <t xml:space="preserve">Base LGD</t>
  </si>
  <si>
    <t xml:space="preserve">PD elasticity (per 1pp unemp.)</t>
  </si>
  <si>
    <t xml:space="preserve">LGD sensitivity to price</t>
  </si>
  <si>
    <t xml:space="preserve">Price driver</t>
  </si>
  <si>
    <t xml:space="preserve">FY2025 net charge-offs ($mm)</t>
  </si>
  <si>
    <t xml:space="preserve">Credit Card</t>
  </si>
  <si>
    <t xml:space="preserve">CCB</t>
  </si>
  <si>
    <t xml:space="preserve">None</t>
  </si>
  <si>
    <t xml:space="preserve">Residential Mortgage</t>
  </si>
  <si>
    <t xml:space="preserve">HPI</t>
  </si>
  <si>
    <t xml:space="preserve">Auto</t>
  </si>
  <si>
    <t xml:space="preserve">Commercial Real Estate</t>
  </si>
  <si>
    <t xml:space="preserve">CIB</t>
  </si>
  <si>
    <t xml:space="preserve">CRE</t>
  </si>
  <si>
    <t xml:space="preserve">Commercial &amp; Industrial</t>
  </si>
  <si>
    <t xml:space="preserve">Other Consumer &amp; Wholesale</t>
  </si>
  <si>
    <t xml:space="preserve">AWM/CCB</t>
  </si>
  <si>
    <t xml:space="preserve">Scenario-Conditional Lifetime ECL</t>
  </si>
  <si>
    <t xml:space="preserve">One block per scenario; rows = portfolio segments</t>
  </si>
  <si>
    <t xml:space="preserve">Scenario: Upside</t>
  </si>
  <si>
    <t xml:space="preserve">Scenario PD (annual)</t>
  </si>
  <si>
    <t xml:space="preserve">Lifetime PD</t>
  </si>
  <si>
    <t xml:space="preserve">Collateral price chg</t>
  </si>
  <si>
    <t xml:space="preserve">Scenario LGD</t>
  </si>
  <si>
    <t xml:space="preserve">EAD ($mm)</t>
  </si>
  <si>
    <t xml:space="preserve">Lifetime ECL ($mm)</t>
  </si>
  <si>
    <t xml:space="preserve">Total - Upside</t>
  </si>
  <si>
    <t xml:space="preserve">Scenario: Baseline</t>
  </si>
  <si>
    <t xml:space="preserve">Total - Baseline</t>
  </si>
  <si>
    <t xml:space="preserve">Scenario: Downside</t>
  </si>
  <si>
    <t xml:space="preserve">Total - Downside</t>
  </si>
  <si>
    <t xml:space="preserve">Allowance Sensitivity to Scenario Weighting</t>
  </si>
  <si>
    <t xml:space="preserve">Modeled allowance plus the same qualitative overlay</t>
  </si>
  <si>
    <t xml:space="preserve">Weighting</t>
  </si>
  <si>
    <t xml:space="preserve">Modeled ECL ($mm)</t>
  </si>
  <si>
    <t xml:space="preserve">Plus overlay ($mm)</t>
  </si>
  <si>
    <t xml:space="preserve">Change vs reported ($mm)</t>
  </si>
  <si>
    <t xml:space="preserve">Change (%)</t>
  </si>
  <si>
    <t xml:space="preserve">100% Upside</t>
  </si>
  <si>
    <t xml:space="preserve">100% Baseline</t>
  </si>
  <si>
    <t xml:space="preserve">100% Downside</t>
  </si>
  <si>
    <t xml:space="preserve">Probability-weighted (reported)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</si>
</sst>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0.00%;\(0.00%\);\-"/>
    <numFmt numFmtId="168" formatCode="0.00;\(0.00\);\-"/>
    <numFmt numFmtId="169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545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8"/>
      <color rgb="FFAA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A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8" min="5" style="0" width="16"/>
    <col collapsed="false" customWidth="true" hidden="false" outlineLevel="0" max="9" min="9" style="0" width="11"/>
    <col collapsed="false" customWidth="true" hidden="false" outlineLevel="0" max="12" min="10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15" hidden="false" customHeight="false" outlineLevel="0" collapsed="false">
      <c r="A6" s="5" t="str">
        <f aca="false">Segment_Inputs!A6</f>
        <v>Credit Card</v>
      </c>
      <c r="B6" s="6" t="n">
        <f aca="false">ECL_Calc!G7</f>
        <v>6894.35850500455</v>
      </c>
      <c r="C6" s="6" t="n">
        <f aca="false">ECL_Calc!G17</f>
        <v>7641.78869610452</v>
      </c>
      <c r="D6" s="6" t="n">
        <f aca="false">ECL_Calc!G27</f>
        <v>10611.3884795337</v>
      </c>
      <c r="E6" s="7" t="n">
        <f aca="false">B6*Scenarios!$B$6+C6*Scenarios!$B$7+D6*Scenarios!$B$8</f>
        <v>8383.18259291327</v>
      </c>
      <c r="F6" s="8" t="n">
        <v>256.81740708673</v>
      </c>
      <c r="G6" s="9" t="n">
        <f aca="false">E6+F6</f>
        <v>8640</v>
      </c>
      <c r="H6" s="6" t="n">
        <f aca="false">Segment_Inputs!K6</f>
        <v>8640</v>
      </c>
      <c r="I6" s="7" t="n">
        <f aca="false">G6-H6</f>
        <v>0</v>
      </c>
      <c r="J6" s="10" t="n">
        <f aca="false">IF(E6=0,0,F6/E6)</f>
        <v>0.0306348339953648</v>
      </c>
      <c r="K6" s="11" t="n">
        <f aca="false">IF(Segment_Inputs!C6=0,0,G6/Segment_Inputs!C6)</f>
        <v>0.0624277456647399</v>
      </c>
      <c r="L6" s="12" t="n">
        <f aca="false">IF(Segment_Inputs!J6=0,0,G6/Segment_Inputs!J6)</f>
        <v>1.87012987012987</v>
      </c>
    </row>
    <row r="7" customFormat="false" ht="15" hidden="false" customHeight="false" outlineLevel="0" collapsed="false">
      <c r="A7" s="5" t="str">
        <f aca="false">Segment_Inputs!A7</f>
        <v>Residential Mortgage</v>
      </c>
      <c r="B7" s="6" t="n">
        <f aca="false">ECL_Calc!G8</f>
        <v>580.955901828212</v>
      </c>
      <c r="C7" s="6" t="n">
        <f aca="false">ECL_Calc!G18</f>
        <v>662.267594458784</v>
      </c>
      <c r="D7" s="6" t="n">
        <f aca="false">ECL_Calc!G28</f>
        <v>1058.80032720481</v>
      </c>
      <c r="E7" s="7" t="n">
        <f aca="false">B7*Scenarios!$B$6+C7*Scenarios!$B$7+D7*Scenarios!$B$8</f>
        <v>764.965075756478</v>
      </c>
      <c r="F7" s="8" t="n">
        <v>55.034924243522</v>
      </c>
      <c r="G7" s="9" t="n">
        <f aca="false">E7+F7</f>
        <v>820.000000000001</v>
      </c>
      <c r="H7" s="6" t="n">
        <f aca="false">Segment_Inputs!K7</f>
        <v>820</v>
      </c>
      <c r="I7" s="7" t="n">
        <f aca="false">G7-H7</f>
        <v>0</v>
      </c>
      <c r="J7" s="10" t="n">
        <f aca="false">IF(E7=0,0,F7/E7)</f>
        <v>0.0719443618901133</v>
      </c>
      <c r="K7" s="11" t="n">
        <f aca="false">IF(Segment_Inputs!C7=0,0,G7/Segment_Inputs!C7)</f>
        <v>0.00375114364135407</v>
      </c>
      <c r="L7" s="12" t="n">
        <f aca="false">IF(Segment_Inputs!J7=0,0,G7/Segment_Inputs!J7)</f>
        <v>20.5</v>
      </c>
    </row>
    <row r="8" customFormat="false" ht="15" hidden="false" customHeight="false" outlineLevel="0" collapsed="false">
      <c r="A8" s="5" t="str">
        <f aca="false">Segment_Inputs!A8</f>
        <v>Auto</v>
      </c>
      <c r="B8" s="6" t="n">
        <f aca="false">ECL_Calc!G9</f>
        <v>627.113819660418</v>
      </c>
      <c r="C8" s="6" t="n">
        <f aca="false">ECL_Calc!G19</f>
        <v>675.4135404654</v>
      </c>
      <c r="D8" s="6" t="n">
        <f aca="false">ECL_Calc!G29</f>
        <v>868.101192569424</v>
      </c>
      <c r="E8" s="7" t="n">
        <f aca="false">B8*Scenarios!$B$6+C8*Scenarios!$B$7+D8*Scenarios!$B$8</f>
        <v>723.559891935611</v>
      </c>
      <c r="F8" s="8" t="n">
        <v>-33.559891935611</v>
      </c>
      <c r="G8" s="9" t="n">
        <f aca="false">E8+F8</f>
        <v>690</v>
      </c>
      <c r="H8" s="6" t="n">
        <f aca="false">Segment_Inputs!K8</f>
        <v>690</v>
      </c>
      <c r="I8" s="7" t="n">
        <f aca="false">G8-H8</f>
        <v>0</v>
      </c>
      <c r="J8" s="10" t="n">
        <f aca="false">IF(E8=0,0,F8/E8)</f>
        <v>-0.0463816365578725</v>
      </c>
      <c r="K8" s="11" t="n">
        <f aca="false">IF(Segment_Inputs!C8=0,0,G8/Segment_Inputs!C8)</f>
        <v>0.0106317411402157</v>
      </c>
      <c r="L8" s="12" t="n">
        <f aca="false">IF(Segment_Inputs!J8=0,0,G8/Segment_Inputs!J8)</f>
        <v>1.68292682926829</v>
      </c>
    </row>
    <row r="9" customFormat="false" ht="15" hidden="false" customHeight="false" outlineLevel="0" collapsed="false">
      <c r="A9" s="5" t="str">
        <f aca="false">Segment_Inputs!A9</f>
        <v>Commercial Real Estate</v>
      </c>
      <c r="B9" s="6" t="n">
        <f aca="false">ECL_Calc!G10</f>
        <v>1653.81957967279</v>
      </c>
      <c r="C9" s="6" t="n">
        <f aca="false">ECL_Calc!G20</f>
        <v>1936.20742759604</v>
      </c>
      <c r="D9" s="6" t="n">
        <f aca="false">ECL_Calc!G30</f>
        <v>3150.43301071632</v>
      </c>
      <c r="E9" s="7" t="n">
        <f aca="false">B9*Scenarios!$B$6+C9*Scenarios!$B$7+D9*Scenarios!$B$8</f>
        <v>2243.99753294747</v>
      </c>
      <c r="F9" s="8" t="n">
        <v>226.00246705253</v>
      </c>
      <c r="G9" s="9" t="n">
        <f aca="false">E9+F9</f>
        <v>2470</v>
      </c>
      <c r="H9" s="6" t="n">
        <f aca="false">Segment_Inputs!K9</f>
        <v>2470</v>
      </c>
      <c r="I9" s="7" t="n">
        <f aca="false">G9-H9</f>
        <v>0</v>
      </c>
      <c r="J9" s="10" t="n">
        <f aca="false">IF(E9=0,0,F9/E9)</f>
        <v>0.10071422260241</v>
      </c>
      <c r="K9" s="11" t="n">
        <f aca="false">IF(Segment_Inputs!C9=0,0,G9/Segment_Inputs!C9)</f>
        <v>0.0251527494908351</v>
      </c>
      <c r="L9" s="12" t="n">
        <f aca="false">IF(Segment_Inputs!J9=0,0,G9/Segment_Inputs!J9)</f>
        <v>6.50000000000001</v>
      </c>
    </row>
    <row r="10" customFormat="false" ht="15" hidden="false" customHeight="false" outlineLevel="0" collapsed="false">
      <c r="A10" s="5" t="str">
        <f aca="false">Segment_Inputs!A10</f>
        <v>Commercial &amp; Industrial</v>
      </c>
      <c r="B10" s="6" t="n">
        <f aca="false">ECL_Calc!G11</f>
        <v>2222.30704262034</v>
      </c>
      <c r="C10" s="6" t="n">
        <f aca="false">ECL_Calc!G21</f>
        <v>2416.2581574624</v>
      </c>
      <c r="D10" s="6" t="n">
        <f aca="false">ECL_Calc!G31</f>
        <v>3188.95615030543</v>
      </c>
      <c r="E10" s="7" t="n">
        <f aca="false">B10*Scenarios!$B$6+C10*Scenarios!$B$7+D10*Scenarios!$B$8</f>
        <v>2609.2773323469</v>
      </c>
      <c r="F10" s="8" t="n">
        <v>150.7226676531</v>
      </c>
      <c r="G10" s="9" t="n">
        <f aca="false">E10+F10</f>
        <v>2760</v>
      </c>
      <c r="H10" s="6" t="n">
        <f aca="false">Segment_Inputs!K10</f>
        <v>2760</v>
      </c>
      <c r="I10" s="7" t="n">
        <f aca="false">G10-H10</f>
        <v>0</v>
      </c>
      <c r="J10" s="10" t="n">
        <f aca="false">IF(E10=0,0,F10/E10)</f>
        <v>0.0577641425020672</v>
      </c>
      <c r="K10" s="11" t="n">
        <f aca="false">IF(Segment_Inputs!C10=0,0,G10/Segment_Inputs!C10)</f>
        <v>0.016</v>
      </c>
      <c r="L10" s="12" t="n">
        <f aca="false">IF(Segment_Inputs!J10=0,0,G10/Segment_Inputs!J10)</f>
        <v>4.92857142857143</v>
      </c>
    </row>
    <row r="11" customFormat="false" ht="15" hidden="false" customHeight="false" outlineLevel="0" collapsed="false">
      <c r="A11" s="5" t="str">
        <f aca="false">Segment_Inputs!A11</f>
        <v>Other Consumer &amp; Wholesale</v>
      </c>
      <c r="B11" s="6" t="n">
        <f aca="false">ECL_Calc!G12</f>
        <v>456.207460041563</v>
      </c>
      <c r="C11" s="6" t="n">
        <f aca="false">ECL_Calc!G22</f>
        <v>485.108613990001</v>
      </c>
      <c r="D11" s="6" t="n">
        <f aca="false">ECL_Calc!G32</f>
        <v>600.451064391025</v>
      </c>
      <c r="E11" s="7" t="n">
        <f aca="false">B11*Scenarios!$B$6+C11*Scenarios!$B$7+D11*Scenarios!$B$8</f>
        <v>513.931118320621</v>
      </c>
      <c r="F11" s="8" t="n">
        <v>26.0688816793791</v>
      </c>
      <c r="G11" s="9" t="n">
        <f aca="false">E11+F11</f>
        <v>540</v>
      </c>
      <c r="H11" s="6" t="n">
        <f aca="false">Segment_Inputs!K11</f>
        <v>540</v>
      </c>
      <c r="I11" s="7" t="n">
        <f aca="false">G11-H11</f>
        <v>0</v>
      </c>
      <c r="J11" s="10" t="n">
        <f aca="false">IF(E11=0,0,F11/E11)</f>
        <v>0.0507244662758789</v>
      </c>
      <c r="K11" s="11" t="n">
        <f aca="false">IF(Segment_Inputs!C11=0,0,G11/Segment_Inputs!C11)</f>
        <v>0.0108651911468813</v>
      </c>
      <c r="L11" s="12" t="n">
        <f aca="false">IF(Segment_Inputs!J11=0,0,G11/Segment_Inputs!J11)</f>
        <v>6</v>
      </c>
    </row>
    <row r="12" customFormat="false" ht="15" hidden="false" customHeight="false" outlineLevel="0" collapsed="false">
      <c r="A12" s="13" t="s">
        <v>15</v>
      </c>
      <c r="B12" s="9" t="n">
        <f aca="false">SUM(B6:B11)</f>
        <v>12434.7623088279</v>
      </c>
      <c r="C12" s="9" t="n">
        <f aca="false">SUM(C6:C11)</f>
        <v>13817.0440300772</v>
      </c>
      <c r="D12" s="9" t="n">
        <f aca="false">SUM(D6:D11)</f>
        <v>19478.1302247207</v>
      </c>
      <c r="E12" s="9" t="n">
        <f aca="false">SUM(E6:E11)</f>
        <v>15238.9135442204</v>
      </c>
      <c r="F12" s="9" t="n">
        <f aca="false">SUM(F6:F11)</f>
        <v>681.08645577965</v>
      </c>
      <c r="G12" s="9" t="n">
        <f aca="false">SUM(G6:G11)</f>
        <v>15920</v>
      </c>
      <c r="H12" s="9" t="n">
        <f aca="false">SUM(H6:H11)</f>
        <v>15920</v>
      </c>
      <c r="I12" s="9" t="n">
        <f aca="false">SUM(I6:I11)</f>
        <v>0</v>
      </c>
      <c r="J12" s="10" t="n">
        <f aca="false">IF(E12=0,0,F12/E12)</f>
        <v>0.0446938985383223</v>
      </c>
      <c r="K12" s="11" t="n">
        <f aca="false">IF(Segment_Inputs!C12=0,0,G12/Segment_Inputs!C12)</f>
        <v>0.0214468543715479</v>
      </c>
      <c r="L12" s="12" t="n">
        <f aca="false">IF(Segment_Inputs!J12=0,0,G12/Segment_Inputs!J12)</f>
        <v>2.60983606557377</v>
      </c>
    </row>
    <row r="14" customFormat="false" ht="15" hidden="false" customHeight="false" outlineLevel="0" collapsed="false">
      <c r="A14" s="13" t="s">
        <v>16</v>
      </c>
      <c r="F14" s="14" t="str">
        <f aca="false">IF(SUMPRODUCT(--(ABS(J6:J11)&gt;0.15))=0,"OK","REVIEW")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15" t="s">
        <v>19</v>
      </c>
      <c r="B5" s="16" t="s">
        <v>20</v>
      </c>
    </row>
    <row r="6" customFormat="false" ht="15" hidden="false" customHeight="false" outlineLevel="0" collapsed="false">
      <c r="A6" s="15" t="s">
        <v>21</v>
      </c>
      <c r="B6" s="16" t="s">
        <v>22</v>
      </c>
    </row>
    <row r="7" customFormat="false" ht="15" hidden="false" customHeight="false" outlineLevel="0" collapsed="false">
      <c r="A7" s="15" t="s">
        <v>23</v>
      </c>
      <c r="B7" s="16" t="s">
        <v>24</v>
      </c>
    </row>
    <row r="8" customFormat="false" ht="15" hidden="false" customHeight="false" outlineLevel="0" collapsed="false">
      <c r="A8" s="15" t="s">
        <v>25</v>
      </c>
      <c r="B8" s="16" t="s">
        <v>26</v>
      </c>
    </row>
    <row r="9" customFormat="false" ht="15" hidden="false" customHeight="false" outlineLevel="0" collapsed="false">
      <c r="A9" s="15" t="s">
        <v>27</v>
      </c>
      <c r="B9" s="16" t="s">
        <v>28</v>
      </c>
    </row>
    <row r="10" customFormat="false" ht="15" hidden="false" customHeight="false" outlineLevel="0" collapsed="false">
      <c r="A10" s="15" t="s">
        <v>29</v>
      </c>
      <c r="B10" s="16" t="s">
        <v>30</v>
      </c>
    </row>
    <row r="11" customFormat="false" ht="15" hidden="false" customHeight="false" outlineLevel="0" collapsed="false">
      <c r="A11" s="15" t="s">
        <v>31</v>
      </c>
      <c r="B11" s="16" t="s">
        <v>32</v>
      </c>
    </row>
    <row r="12" customFormat="false" ht="23.85" hidden="false" customHeight="false" outlineLevel="0" collapsed="false">
      <c r="A12" s="15" t="s">
        <v>33</v>
      </c>
      <c r="B12" s="16" t="s">
        <v>34</v>
      </c>
    </row>
    <row r="13" customFormat="false" ht="15" hidden="false" customHeight="false" outlineLevel="0" collapsed="false">
      <c r="A13" s="15" t="s">
        <v>35</v>
      </c>
      <c r="B13" s="16" t="s">
        <v>36</v>
      </c>
    </row>
    <row r="14" customFormat="false" ht="15" hidden="false" customHeight="false" outlineLevel="0" collapsed="false">
      <c r="A14" s="15" t="s">
        <v>37</v>
      </c>
      <c r="B14" s="16" t="s">
        <v>38</v>
      </c>
    </row>
    <row r="15" customFormat="false" ht="15" hidden="false" customHeight="false" outlineLevel="0" collapsed="false">
      <c r="A15" s="15" t="s">
        <v>39</v>
      </c>
      <c r="B15" s="16" t="s">
        <v>40</v>
      </c>
    </row>
    <row r="16" customFormat="false" ht="15" hidden="false" customHeight="false" outlineLevel="0" collapsed="false">
      <c r="A16" s="15" t="s">
        <v>41</v>
      </c>
      <c r="B16" s="16" t="s">
        <v>42</v>
      </c>
    </row>
    <row r="17" customFormat="false" ht="15" hidden="false" customHeight="false" outlineLevel="0" collapsed="false">
      <c r="B17" s="17"/>
    </row>
    <row r="18" customFormat="false" ht="17.35" hidden="false" customHeight="false" outlineLevel="0" collapsed="false">
      <c r="A18" s="1" t="s">
        <v>43</v>
      </c>
      <c r="B18" s="17"/>
    </row>
    <row r="19" customFormat="false" ht="15" hidden="false" customHeight="false" outlineLevel="0" collapsed="false">
      <c r="A19" s="15" t="s">
        <v>44</v>
      </c>
      <c r="B19" s="17" t="s">
        <v>45</v>
      </c>
    </row>
    <row r="20" customFormat="false" ht="15" hidden="false" customHeight="false" outlineLevel="0" collapsed="false">
      <c r="A20" s="15" t="s">
        <v>46</v>
      </c>
      <c r="B20" s="17" t="s">
        <v>47</v>
      </c>
    </row>
    <row r="21" customFormat="false" ht="15" hidden="false" customHeight="false" outlineLevel="0" collapsed="false">
      <c r="A21" s="15" t="s">
        <v>48</v>
      </c>
      <c r="B21" s="17" t="s">
        <v>49</v>
      </c>
    </row>
    <row r="22" customFormat="false" ht="15" hidden="false" customHeight="false" outlineLevel="0" collapsed="false">
      <c r="A22" s="15" t="s">
        <v>50</v>
      </c>
      <c r="B22" s="17" t="s">
        <v>51</v>
      </c>
    </row>
    <row r="23" customFormat="false" ht="15" hidden="false" customHeight="false" outlineLevel="0" collapsed="false">
      <c r="A23" s="15" t="s">
        <v>52</v>
      </c>
      <c r="B23" s="17" t="s">
        <v>53</v>
      </c>
    </row>
    <row r="24" customFormat="false" ht="15" hidden="false" customHeight="false" outlineLevel="0" collapsed="false">
      <c r="B24" s="17"/>
    </row>
    <row r="25" customFormat="false" ht="17.35" hidden="false" customHeight="false" outlineLevel="0" collapsed="false">
      <c r="A25" s="1" t="s">
        <v>54</v>
      </c>
      <c r="B25" s="17"/>
    </row>
    <row r="26" customFormat="false" ht="15" hidden="false" customHeight="false" outlineLevel="0" collapsed="false">
      <c r="A26" s="18" t="s">
        <v>55</v>
      </c>
      <c r="B26" s="17" t="s">
        <v>56</v>
      </c>
    </row>
    <row r="27" customFormat="false" ht="15" hidden="false" customHeight="false" outlineLevel="0" collapsed="false">
      <c r="A27" s="18" t="s">
        <v>57</v>
      </c>
      <c r="B27" s="17" t="s">
        <v>58</v>
      </c>
    </row>
    <row r="28" customFormat="false" ht="28.35" hidden="false" customHeight="false" outlineLevel="0" collapsed="false">
      <c r="A28" s="18" t="s">
        <v>59</v>
      </c>
      <c r="B28" s="17" t="s">
        <v>60</v>
      </c>
    </row>
    <row r="29" customFormat="false" ht="15" hidden="false" customHeight="false" outlineLevel="0" collapsed="false">
      <c r="A29" s="18" t="s">
        <v>61</v>
      </c>
      <c r="B29" s="17" t="s">
        <v>62</v>
      </c>
    </row>
    <row r="30" customFormat="false" ht="15" hidden="false" customHeight="false" outlineLevel="0" collapsed="false">
      <c r="A30" s="18" t="s">
        <v>63</v>
      </c>
      <c r="B30" s="17" t="s">
        <v>64</v>
      </c>
    </row>
    <row r="31" customFormat="false" ht="15" hidden="false" customHeight="false" outlineLevel="0" collapsed="false">
      <c r="B31" s="17"/>
    </row>
    <row r="32" customFormat="false" ht="17.35" hidden="false" customHeight="false" outlineLevel="0" collapsed="false">
      <c r="A32" s="1" t="s">
        <v>65</v>
      </c>
      <c r="B32" s="17"/>
    </row>
    <row r="33" customFormat="false" ht="15" hidden="false" customHeight="false" outlineLevel="0" collapsed="false">
      <c r="A33" s="18" t="s">
        <v>55</v>
      </c>
      <c r="B33" s="17" t="s">
        <v>66</v>
      </c>
    </row>
    <row r="34" customFormat="false" ht="15" hidden="false" customHeight="false" outlineLevel="0" collapsed="false">
      <c r="A34" s="18" t="s">
        <v>57</v>
      </c>
      <c r="B34" s="17" t="s">
        <v>67</v>
      </c>
    </row>
    <row r="35" customFormat="false" ht="15" hidden="false" customHeight="false" outlineLevel="0" collapsed="false">
      <c r="A35" s="18" t="s">
        <v>59</v>
      </c>
      <c r="B35" s="17" t="s">
        <v>68</v>
      </c>
    </row>
    <row r="36" customFormat="false" ht="15" hidden="false" customHeight="false" outlineLevel="0" collapsed="false">
      <c r="B36" s="17"/>
    </row>
    <row r="37" customFormat="false" ht="17.35" hidden="false" customHeight="false" outlineLevel="0" collapsed="false">
      <c r="A37" s="1" t="s">
        <v>69</v>
      </c>
      <c r="B37" s="17"/>
    </row>
    <row r="38" customFormat="false" ht="15" hidden="false" customHeight="false" outlineLevel="0" collapsed="false">
      <c r="A38" s="18" t="s">
        <v>55</v>
      </c>
      <c r="B38" s="17" t="s">
        <v>70</v>
      </c>
    </row>
    <row r="39" customFormat="false" ht="15" hidden="false" customHeight="false" outlineLevel="0" collapsed="false">
      <c r="A39" s="18" t="s">
        <v>57</v>
      </c>
      <c r="B39" s="17" t="s">
        <v>71</v>
      </c>
    </row>
    <row r="40" customFormat="false" ht="15" hidden="false" customHeight="false" outlineLevel="0" collapsed="false">
      <c r="A40" s="18" t="s">
        <v>59</v>
      </c>
      <c r="B40" s="17" t="s">
        <v>72</v>
      </c>
    </row>
    <row r="41" customFormat="false" ht="15" hidden="false" customHeight="false" outlineLevel="0" collapsed="false">
      <c r="B41" s="17"/>
    </row>
    <row r="42" customFormat="false" ht="17.35" hidden="false" customHeight="false" outlineLevel="0" collapsed="false">
      <c r="A42" s="1" t="s">
        <v>73</v>
      </c>
      <c r="B42" s="17"/>
    </row>
    <row r="43" customFormat="false" ht="15" hidden="false" customHeight="false" outlineLevel="0" collapsed="false">
      <c r="A43" s="18" t="s">
        <v>55</v>
      </c>
      <c r="B43" s="17" t="s">
        <v>74</v>
      </c>
    </row>
    <row r="44" customFormat="false" ht="15" hidden="false" customHeight="false" outlineLevel="0" collapsed="false">
      <c r="A44" s="18" t="s">
        <v>57</v>
      </c>
      <c r="B44" s="17" t="s">
        <v>75</v>
      </c>
    </row>
    <row r="45" customFormat="false" ht="15" hidden="false" customHeight="false" outlineLevel="0" collapsed="false">
      <c r="A45" s="18" t="s">
        <v>59</v>
      </c>
      <c r="B45" s="17" t="s">
        <v>76</v>
      </c>
    </row>
    <row r="46" customFormat="false" ht="15" hidden="false" customHeight="false" outlineLevel="0" collapsed="false">
      <c r="A46" s="18" t="s">
        <v>61</v>
      </c>
      <c r="B46" s="17" t="s">
        <v>77</v>
      </c>
    </row>
    <row r="47" customFormat="false" ht="15" hidden="false" customHeight="false" outlineLevel="0" collapsed="false">
      <c r="B47" s="17"/>
    </row>
    <row r="48" customFormat="false" ht="17.35" hidden="false" customHeight="false" outlineLevel="0" collapsed="false">
      <c r="A48" s="1" t="s">
        <v>78</v>
      </c>
      <c r="B48" s="17"/>
    </row>
    <row r="49" customFormat="false" ht="15" hidden="false" customHeight="false" outlineLevel="0" collapsed="false">
      <c r="B49" s="19" t="s">
        <v>79</v>
      </c>
    </row>
    <row r="50" customFormat="false" ht="15" hidden="false" customHeight="false" outlineLevel="0" collapsed="false">
      <c r="B50" s="16" t="s">
        <v>80</v>
      </c>
    </row>
    <row r="51" customFormat="false" ht="15" hidden="false" customHeight="false" outlineLevel="0" collapsed="false">
      <c r="B51" s="20" t="s">
        <v>81</v>
      </c>
    </row>
    <row r="52" customFormat="false" ht="15" hidden="false" customHeight="false" outlineLevel="0" collapsed="false">
      <c r="B52" s="21" t="s">
        <v>82</v>
      </c>
    </row>
    <row r="53" customFormat="false" ht="15" hidden="false" customHeight="false" outlineLevel="0" collapsed="false">
      <c r="B5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6" min="3" style="0" width="18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85</v>
      </c>
      <c r="B5" s="4" t="s">
        <v>86</v>
      </c>
      <c r="C5" s="4" t="s">
        <v>87</v>
      </c>
      <c r="D5" s="4" t="s">
        <v>88</v>
      </c>
      <c r="E5" s="4" t="s">
        <v>89</v>
      </c>
      <c r="F5" s="4" t="s">
        <v>90</v>
      </c>
    </row>
    <row r="6" customFormat="false" ht="15" hidden="false" customHeight="false" outlineLevel="0" collapsed="false">
      <c r="A6" s="13" t="s">
        <v>91</v>
      </c>
      <c r="B6" s="22" t="n">
        <v>0.2</v>
      </c>
      <c r="C6" s="23" t="n">
        <v>0.038</v>
      </c>
      <c r="D6" s="23" t="n">
        <v>0.026</v>
      </c>
      <c r="E6" s="23" t="n">
        <v>0.045</v>
      </c>
      <c r="F6" s="23" t="n">
        <v>0.03</v>
      </c>
    </row>
    <row r="7" customFormat="false" ht="15" hidden="false" customHeight="false" outlineLevel="0" collapsed="false">
      <c r="A7" s="13" t="s">
        <v>92</v>
      </c>
      <c r="B7" s="22" t="n">
        <v>0.5</v>
      </c>
      <c r="C7" s="23" t="n">
        <v>0.044</v>
      </c>
      <c r="D7" s="23" t="n">
        <v>0.017</v>
      </c>
      <c r="E7" s="23" t="n">
        <v>0.022</v>
      </c>
      <c r="F7" s="23" t="n">
        <v>-0.01</v>
      </c>
    </row>
    <row r="8" customFormat="false" ht="15" hidden="false" customHeight="false" outlineLevel="0" collapsed="false">
      <c r="A8" s="13" t="s">
        <v>93</v>
      </c>
      <c r="B8" s="22" t="n">
        <v>0.3</v>
      </c>
      <c r="C8" s="23" t="n">
        <v>0.068</v>
      </c>
      <c r="D8" s="23" t="n">
        <v>-0.012</v>
      </c>
      <c r="E8" s="23" t="n">
        <v>-0.085</v>
      </c>
      <c r="F8" s="23" t="n">
        <v>-0.14</v>
      </c>
    </row>
    <row r="9" customFormat="false" ht="15" hidden="false" customHeight="false" outlineLevel="0" collapsed="false">
      <c r="A9" s="13" t="s">
        <v>94</v>
      </c>
      <c r="B9" s="10" t="n">
        <f aca="false">SUM(B6:B8)</f>
        <v>1</v>
      </c>
      <c r="C9" s="14" t="str">
        <f aca="false">IF(ABS(B9-1)&lt;0.0001,"OK","WEIGHTS MUST SUM TO 100%")</f>
        <v>OK</v>
      </c>
    </row>
    <row r="11" customFormat="false" ht="15" hidden="false" customHeight="false" outlineLevel="0" collapsed="false">
      <c r="A11" s="13" t="s">
        <v>95</v>
      </c>
      <c r="B11" s="24" t="n">
        <f aca="false">C7</f>
        <v>0.044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8" min="7" style="0" width="14"/>
    <col collapsed="false" customWidth="true" hidden="false" outlineLevel="0" max="9" min="9" style="0" width="10"/>
    <col collapsed="false" customWidth="true" hidden="false" outlineLevel="0" max="11" min="10" style="0" width="16"/>
  </cols>
  <sheetData>
    <row r="1" customFormat="false" ht="17.35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98</v>
      </c>
      <c r="C5" s="4" t="s">
        <v>99</v>
      </c>
      <c r="D5" s="4" t="s">
        <v>100</v>
      </c>
      <c r="E5" s="4" t="s">
        <v>101</v>
      </c>
      <c r="F5" s="4" t="s">
        <v>102</v>
      </c>
      <c r="G5" s="4" t="s">
        <v>103</v>
      </c>
      <c r="H5" s="4" t="s">
        <v>104</v>
      </c>
      <c r="I5" s="4" t="s">
        <v>105</v>
      </c>
      <c r="J5" s="4" t="s">
        <v>106</v>
      </c>
      <c r="K5" s="4" t="s">
        <v>10</v>
      </c>
    </row>
    <row r="6" customFormat="false" ht="15" hidden="false" customHeight="false" outlineLevel="0" collapsed="false">
      <c r="A6" s="13" t="s">
        <v>107</v>
      </c>
      <c r="B6" s="25" t="s">
        <v>108</v>
      </c>
      <c r="C6" s="26" t="n">
        <v>138400</v>
      </c>
      <c r="D6" s="27" t="n">
        <v>1.7</v>
      </c>
      <c r="E6" s="28" t="n">
        <v>0.0374</v>
      </c>
      <c r="F6" s="23" t="n">
        <v>0.88</v>
      </c>
      <c r="G6" s="29" t="n">
        <v>0.165</v>
      </c>
      <c r="H6" s="27" t="n">
        <v>0</v>
      </c>
      <c r="I6" s="25" t="s">
        <v>109</v>
      </c>
      <c r="J6" s="26" t="n">
        <v>4620</v>
      </c>
      <c r="K6" s="26" t="n">
        <v>8640</v>
      </c>
    </row>
    <row r="7" customFormat="false" ht="15" hidden="false" customHeight="false" outlineLevel="0" collapsed="false">
      <c r="A7" s="13" t="s">
        <v>110</v>
      </c>
      <c r="B7" s="25" t="s">
        <v>108</v>
      </c>
      <c r="C7" s="26" t="n">
        <v>218600</v>
      </c>
      <c r="D7" s="27" t="n">
        <v>6.5</v>
      </c>
      <c r="E7" s="28" t="n">
        <v>0.0035</v>
      </c>
      <c r="F7" s="23" t="n">
        <v>0.14</v>
      </c>
      <c r="G7" s="29" t="n">
        <v>0.14</v>
      </c>
      <c r="H7" s="27" t="n">
        <v>1.8</v>
      </c>
      <c r="I7" s="25" t="s">
        <v>111</v>
      </c>
      <c r="J7" s="26" t="n">
        <v>40</v>
      </c>
      <c r="K7" s="26" t="n">
        <v>820</v>
      </c>
    </row>
    <row r="8" customFormat="false" ht="15" hidden="false" customHeight="false" outlineLevel="0" collapsed="false">
      <c r="A8" s="13" t="s">
        <v>112</v>
      </c>
      <c r="B8" s="25" t="s">
        <v>108</v>
      </c>
      <c r="C8" s="26" t="n">
        <v>64900</v>
      </c>
      <c r="D8" s="27" t="n">
        <v>2.4</v>
      </c>
      <c r="E8" s="28" t="n">
        <v>0.0104</v>
      </c>
      <c r="F8" s="23" t="n">
        <v>0.42</v>
      </c>
      <c r="G8" s="29" t="n">
        <v>0.12</v>
      </c>
      <c r="H8" s="27" t="n">
        <v>0.4</v>
      </c>
      <c r="I8" s="25" t="s">
        <v>109</v>
      </c>
      <c r="J8" s="26" t="n">
        <v>410</v>
      </c>
      <c r="K8" s="26" t="n">
        <v>690</v>
      </c>
    </row>
    <row r="9" customFormat="false" ht="15" hidden="false" customHeight="false" outlineLevel="0" collapsed="false">
      <c r="A9" s="13" t="s">
        <v>113</v>
      </c>
      <c r="B9" s="25" t="s">
        <v>114</v>
      </c>
      <c r="C9" s="26" t="n">
        <v>98200</v>
      </c>
      <c r="D9" s="27" t="n">
        <v>3.8</v>
      </c>
      <c r="E9" s="28" t="n">
        <v>0.0137</v>
      </c>
      <c r="F9" s="23" t="n">
        <v>0.38</v>
      </c>
      <c r="G9" s="29" t="n">
        <v>0.15</v>
      </c>
      <c r="H9" s="27" t="n">
        <v>1.6</v>
      </c>
      <c r="I9" s="25" t="s">
        <v>115</v>
      </c>
      <c r="J9" s="26" t="n">
        <v>380</v>
      </c>
      <c r="K9" s="26" t="n">
        <v>2470</v>
      </c>
    </row>
    <row r="10" customFormat="false" ht="15" hidden="false" customHeight="false" outlineLevel="0" collapsed="false">
      <c r="A10" s="13" t="s">
        <v>116</v>
      </c>
      <c r="B10" s="25" t="s">
        <v>114</v>
      </c>
      <c r="C10" s="26" t="n">
        <v>172500</v>
      </c>
      <c r="D10" s="27" t="n">
        <v>2.3</v>
      </c>
      <c r="E10" s="28" t="n">
        <v>0.015</v>
      </c>
      <c r="F10" s="23" t="n">
        <v>0.41</v>
      </c>
      <c r="G10" s="29" t="n">
        <v>0.135</v>
      </c>
      <c r="H10" s="27" t="n">
        <v>0</v>
      </c>
      <c r="I10" s="25" t="s">
        <v>109</v>
      </c>
      <c r="J10" s="26" t="n">
        <v>560</v>
      </c>
      <c r="K10" s="26" t="n">
        <v>2760</v>
      </c>
    </row>
    <row r="11" customFormat="false" ht="15" hidden="false" customHeight="false" outlineLevel="0" collapsed="false">
      <c r="A11" s="13" t="s">
        <v>117</v>
      </c>
      <c r="B11" s="25" t="s">
        <v>118</v>
      </c>
      <c r="C11" s="26" t="n">
        <v>49700</v>
      </c>
      <c r="D11" s="27" t="n">
        <v>2</v>
      </c>
      <c r="E11" s="28" t="n">
        <v>0.0149</v>
      </c>
      <c r="F11" s="23" t="n">
        <v>0.33</v>
      </c>
      <c r="G11" s="29" t="n">
        <v>0.1</v>
      </c>
      <c r="H11" s="27" t="n">
        <v>0</v>
      </c>
      <c r="I11" s="25" t="s">
        <v>109</v>
      </c>
      <c r="J11" s="26" t="n">
        <v>90</v>
      </c>
      <c r="K11" s="26" t="n">
        <v>540</v>
      </c>
    </row>
    <row r="12" customFormat="false" ht="15" hidden="false" customHeight="false" outlineLevel="0" collapsed="false">
      <c r="A12" s="13" t="s">
        <v>15</v>
      </c>
      <c r="C12" s="9" t="n">
        <f aca="false">SUM(C6:C11)</f>
        <v>742300</v>
      </c>
      <c r="J12" s="9" t="n">
        <f aca="false">SUM(J6:J11)</f>
        <v>6100</v>
      </c>
      <c r="K12" s="9" t="n">
        <f aca="false">SUM(K6:K11)</f>
        <v>15920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3" customFormat="false" ht="15" hidden="false" customHeight="false" outlineLevel="0" collapsed="false">
      <c r="A3" s="3" t="s">
        <v>2</v>
      </c>
    </row>
    <row r="5" customFormat="false" ht="17.35" hidden="false" customHeight="false" outlineLevel="0" collapsed="false">
      <c r="A5" s="1" t="s">
        <v>121</v>
      </c>
    </row>
    <row r="6" customFormat="false" ht="30" hidden="false" customHeight="true" outlineLevel="0" collapsed="false">
      <c r="A6" s="4" t="s">
        <v>3</v>
      </c>
      <c r="B6" s="4" t="s">
        <v>122</v>
      </c>
      <c r="C6" s="4" t="s">
        <v>123</v>
      </c>
      <c r="D6" s="4" t="s">
        <v>124</v>
      </c>
      <c r="E6" s="4" t="s">
        <v>125</v>
      </c>
      <c r="F6" s="4" t="s">
        <v>126</v>
      </c>
      <c r="G6" s="4" t="s">
        <v>127</v>
      </c>
    </row>
    <row r="7" customFormat="false" ht="15" hidden="false" customHeight="false" outlineLevel="0" collapsed="false">
      <c r="A7" s="5" t="str">
        <f aca="false">Segment_Inputs!A6</f>
        <v>Credit Card</v>
      </c>
      <c r="B7" s="11" t="n">
        <f aca="false">MAX(0,Segment_Inputs!E6*(1+Segment_Inputs!G6*(Scenarios!$C$6-Scenarios!$B$11)*100))</f>
        <v>0.0336974</v>
      </c>
      <c r="C7" s="11" t="n">
        <f aca="false">1-(1-B7)^Segment_Inputs!D6</f>
        <v>0.0566076466845487</v>
      </c>
      <c r="D7" s="10" t="n">
        <f aca="false">IF(Segment_Inputs!I6="HPI",Scenarios!$E$6,IF(Segment_Inputs!I6="CRE",Scenarios!$F$6,0))</f>
        <v>0</v>
      </c>
      <c r="E7" s="10" t="n">
        <f aca="false">MIN(1,MAX(0,Segment_Inputs!F6*(1-Segment_Inputs!H6*D7)))</f>
        <v>0.88</v>
      </c>
      <c r="F7" s="6" t="n">
        <f aca="false">Segment_Inputs!C6</f>
        <v>138400</v>
      </c>
      <c r="G7" s="7" t="n">
        <f aca="false">F7*C7*E7</f>
        <v>6894.35850500455</v>
      </c>
    </row>
    <row r="8" customFormat="false" ht="15" hidden="false" customHeight="false" outlineLevel="0" collapsed="false">
      <c r="A8" s="5" t="str">
        <f aca="false">Segment_Inputs!A7</f>
        <v>Residential Mortgage</v>
      </c>
      <c r="B8" s="11" t="n">
        <f aca="false">MAX(0,Segment_Inputs!E7*(1+Segment_Inputs!G7*(Scenarios!$C$6-Scenarios!$B$11)*100))</f>
        <v>0.003206</v>
      </c>
      <c r="C8" s="11" t="n">
        <f aca="false">1-(1-B8)^Segment_Inputs!D7</f>
        <v>0.0206561540252624</v>
      </c>
      <c r="D8" s="10" t="n">
        <f aca="false">IF(Segment_Inputs!I7="HPI",Scenarios!$E$6,IF(Segment_Inputs!I7="CRE",Scenarios!$F$6,0))</f>
        <v>0.045</v>
      </c>
      <c r="E8" s="10" t="n">
        <f aca="false">MIN(1,MAX(0,Segment_Inputs!F7*(1-Segment_Inputs!H7*D8)))</f>
        <v>0.12866</v>
      </c>
      <c r="F8" s="6" t="n">
        <f aca="false">Segment_Inputs!C7</f>
        <v>218600</v>
      </c>
      <c r="G8" s="7" t="n">
        <f aca="false">F8*C8*E8</f>
        <v>580.955901828212</v>
      </c>
    </row>
    <row r="9" customFormat="false" ht="15" hidden="false" customHeight="false" outlineLevel="0" collapsed="false">
      <c r="A9" s="5" t="str">
        <f aca="false">Segment_Inputs!A8</f>
        <v>Auto</v>
      </c>
      <c r="B9" s="11" t="n">
        <f aca="false">MAX(0,Segment_Inputs!E8*(1+Segment_Inputs!G8*(Scenarios!$C$6-Scenarios!$B$11)*100))</f>
        <v>0.0096512</v>
      </c>
      <c r="C9" s="11" t="n">
        <f aca="false">1-(1-B9)^Segment_Inputs!D8</f>
        <v>0.0230065969499016</v>
      </c>
      <c r="D9" s="10" t="n">
        <f aca="false">IF(Segment_Inputs!I8="HPI",Scenarios!$E$6,IF(Segment_Inputs!I8="CRE",Scenarios!$F$6,0))</f>
        <v>0</v>
      </c>
      <c r="E9" s="10" t="n">
        <f aca="false">MIN(1,MAX(0,Segment_Inputs!F8*(1-Segment_Inputs!H8*D9)))</f>
        <v>0.42</v>
      </c>
      <c r="F9" s="6" t="n">
        <f aca="false">Segment_Inputs!C8</f>
        <v>64900</v>
      </c>
      <c r="G9" s="7" t="n">
        <f aca="false">F9*C9*E9</f>
        <v>627.113819660418</v>
      </c>
    </row>
    <row r="10" customFormat="false" ht="15" hidden="false" customHeight="false" outlineLevel="0" collapsed="false">
      <c r="A10" s="5" t="str">
        <f aca="false">Segment_Inputs!A9</f>
        <v>Commercial Real Estate</v>
      </c>
      <c r="B10" s="11" t="n">
        <f aca="false">MAX(0,Segment_Inputs!E9*(1+Segment_Inputs!G9*(Scenarios!$C$6-Scenarios!$B$11)*100))</f>
        <v>0.012467</v>
      </c>
      <c r="C10" s="11" t="n">
        <f aca="false">1-(1-B10)^Segment_Inputs!D9</f>
        <v>0.0465539029057981</v>
      </c>
      <c r="D10" s="10" t="n">
        <f aca="false">IF(Segment_Inputs!I9="HPI",Scenarios!$E$6,IF(Segment_Inputs!I9="CRE",Scenarios!$F$6,0))</f>
        <v>0.03</v>
      </c>
      <c r="E10" s="10" t="n">
        <f aca="false">MIN(1,MAX(0,Segment_Inputs!F9*(1-Segment_Inputs!H9*D10)))</f>
        <v>0.36176</v>
      </c>
      <c r="F10" s="6" t="n">
        <f aca="false">Segment_Inputs!C9</f>
        <v>98200</v>
      </c>
      <c r="G10" s="7" t="n">
        <f aca="false">F10*C10*E10</f>
        <v>1653.81957967279</v>
      </c>
    </row>
    <row r="11" customFormat="false" ht="15" hidden="false" customHeight="false" outlineLevel="0" collapsed="false">
      <c r="A11" s="5" t="str">
        <f aca="false">Segment_Inputs!A10</f>
        <v>Commercial &amp; Industrial</v>
      </c>
      <c r="B11" s="11" t="n">
        <f aca="false">MAX(0,Segment_Inputs!E10*(1+Segment_Inputs!G10*(Scenarios!$C$6-Scenarios!$B$11)*100))</f>
        <v>0.013785</v>
      </c>
      <c r="C11" s="11" t="n">
        <f aca="false">1-(1-B11)^Segment_Inputs!D10</f>
        <v>0.0314218033597786</v>
      </c>
      <c r="D11" s="10" t="n">
        <f aca="false">IF(Segment_Inputs!I10="HPI",Scenarios!$E$6,IF(Segment_Inputs!I10="CRE",Scenarios!$F$6,0))</f>
        <v>0</v>
      </c>
      <c r="E11" s="10" t="n">
        <f aca="false">MIN(1,MAX(0,Segment_Inputs!F10*(1-Segment_Inputs!H10*D11)))</f>
        <v>0.41</v>
      </c>
      <c r="F11" s="6" t="n">
        <f aca="false">Segment_Inputs!C10</f>
        <v>172500</v>
      </c>
      <c r="G11" s="7" t="n">
        <f aca="false">F11*C11*E11</f>
        <v>2222.30704262034</v>
      </c>
    </row>
    <row r="12" customFormat="false" ht="15" hidden="false" customHeight="false" outlineLevel="0" collapsed="false">
      <c r="A12" s="5" t="str">
        <f aca="false">Segment_Inputs!A11</f>
        <v>Other Consumer &amp; Wholesale</v>
      </c>
      <c r="B12" s="11" t="n">
        <f aca="false">MAX(0,Segment_Inputs!E11*(1+Segment_Inputs!G11*(Scenarios!$C$6-Scenarios!$B$11)*100))</f>
        <v>0.014006</v>
      </c>
      <c r="C12" s="11" t="n">
        <f aca="false">1-(1-B12)^Segment_Inputs!D11</f>
        <v>0.027815831964</v>
      </c>
      <c r="D12" s="10" t="n">
        <f aca="false">IF(Segment_Inputs!I11="HPI",Scenarios!$E$6,IF(Segment_Inputs!I11="CRE",Scenarios!$F$6,0))</f>
        <v>0</v>
      </c>
      <c r="E12" s="10" t="n">
        <f aca="false">MIN(1,MAX(0,Segment_Inputs!F11*(1-Segment_Inputs!H11*D12)))</f>
        <v>0.33</v>
      </c>
      <c r="F12" s="6" t="n">
        <f aca="false">Segment_Inputs!C11</f>
        <v>49700</v>
      </c>
      <c r="G12" s="7" t="n">
        <f aca="false">F12*C12*E12</f>
        <v>456.207460041563</v>
      </c>
    </row>
    <row r="13" customFormat="false" ht="15" hidden="false" customHeight="false" outlineLevel="0" collapsed="false">
      <c r="A13" s="13" t="s">
        <v>128</v>
      </c>
      <c r="G13" s="9" t="n">
        <f aca="false">SUM(G7:G12)</f>
        <v>12434.7623088279</v>
      </c>
    </row>
    <row r="15" customFormat="false" ht="17.35" hidden="false" customHeight="false" outlineLevel="0" collapsed="false">
      <c r="A15" s="1" t="s">
        <v>129</v>
      </c>
    </row>
    <row r="16" customFormat="false" ht="30" hidden="false" customHeight="true" outlineLevel="0" collapsed="false">
      <c r="A16" s="4" t="s">
        <v>3</v>
      </c>
      <c r="B16" s="4" t="s">
        <v>122</v>
      </c>
      <c r="C16" s="4" t="s">
        <v>123</v>
      </c>
      <c r="D16" s="4" t="s">
        <v>124</v>
      </c>
      <c r="E16" s="4" t="s">
        <v>125</v>
      </c>
      <c r="F16" s="4" t="s">
        <v>126</v>
      </c>
      <c r="G16" s="4" t="s">
        <v>127</v>
      </c>
    </row>
    <row r="17" customFormat="false" ht="15" hidden="false" customHeight="false" outlineLevel="0" collapsed="false">
      <c r="A17" s="5" t="str">
        <f aca="false">Segment_Inputs!A6</f>
        <v>Credit Card</v>
      </c>
      <c r="B17" s="11" t="n">
        <f aca="false">MAX(0,Segment_Inputs!E6*(1+Segment_Inputs!G6*(Scenarios!$C$7-Scenarios!$B$11)*100))</f>
        <v>0.0374</v>
      </c>
      <c r="C17" s="11" t="n">
        <f aca="false">1-(1-B17)^Segment_Inputs!D6</f>
        <v>0.0627445866403747</v>
      </c>
      <c r="D17" s="10" t="n">
        <f aca="false">IF(Segment_Inputs!I6="HPI",Scenarios!$E$7,IF(Segment_Inputs!I6="CRE",Scenarios!$F$7,0))</f>
        <v>0</v>
      </c>
      <c r="E17" s="10" t="n">
        <f aca="false">MIN(1,MAX(0,Segment_Inputs!F6*(1-Segment_Inputs!H6*D17)))</f>
        <v>0.88</v>
      </c>
      <c r="F17" s="6" t="n">
        <f aca="false">Segment_Inputs!C6</f>
        <v>138400</v>
      </c>
      <c r="G17" s="7" t="n">
        <f aca="false">F17*C17*E17</f>
        <v>7641.78869610452</v>
      </c>
    </row>
    <row r="18" customFormat="false" ht="15" hidden="false" customHeight="false" outlineLevel="0" collapsed="false">
      <c r="A18" s="5" t="str">
        <f aca="false">Segment_Inputs!A7</f>
        <v>Residential Mortgage</v>
      </c>
      <c r="B18" s="11" t="n">
        <f aca="false">MAX(0,Segment_Inputs!E7*(1+Segment_Inputs!G7*(Scenarios!$C$7-Scenarios!$B$11)*100))</f>
        <v>0.0035</v>
      </c>
      <c r="C18" s="11" t="n">
        <f aca="false">1-(1-B18)^Segment_Inputs!D7</f>
        <v>0.0225321773214859</v>
      </c>
      <c r="D18" s="10" t="n">
        <f aca="false">IF(Segment_Inputs!I7="HPI",Scenarios!$E$7,IF(Segment_Inputs!I7="CRE",Scenarios!$F$7,0))</f>
        <v>0.022</v>
      </c>
      <c r="E18" s="10" t="n">
        <f aca="false">MIN(1,MAX(0,Segment_Inputs!F7*(1-Segment_Inputs!H7*D18)))</f>
        <v>0.134456</v>
      </c>
      <c r="F18" s="6" t="n">
        <f aca="false">Segment_Inputs!C7</f>
        <v>218600</v>
      </c>
      <c r="G18" s="7" t="n">
        <f aca="false">F18*C18*E18</f>
        <v>662.267594458784</v>
      </c>
    </row>
    <row r="19" customFormat="false" ht="15" hidden="false" customHeight="false" outlineLevel="0" collapsed="false">
      <c r="A19" s="5" t="str">
        <f aca="false">Segment_Inputs!A8</f>
        <v>Auto</v>
      </c>
      <c r="B19" s="11" t="n">
        <f aca="false">MAX(0,Segment_Inputs!E8*(1+Segment_Inputs!G8*(Scenarios!$C$7-Scenarios!$B$11)*100))</f>
        <v>0.0104</v>
      </c>
      <c r="C19" s="11" t="n">
        <f aca="false">1-(1-B19)^Segment_Inputs!D8</f>
        <v>0.0247785435639225</v>
      </c>
      <c r="D19" s="10" t="n">
        <f aca="false">IF(Segment_Inputs!I8="HPI",Scenarios!$E$7,IF(Segment_Inputs!I8="CRE",Scenarios!$F$7,0))</f>
        <v>0</v>
      </c>
      <c r="E19" s="10" t="n">
        <f aca="false">MIN(1,MAX(0,Segment_Inputs!F8*(1-Segment_Inputs!H8*D19)))</f>
        <v>0.42</v>
      </c>
      <c r="F19" s="6" t="n">
        <f aca="false">Segment_Inputs!C8</f>
        <v>64900</v>
      </c>
      <c r="G19" s="7" t="n">
        <f aca="false">F19*C19*E19</f>
        <v>675.4135404654</v>
      </c>
    </row>
    <row r="20" customFormat="false" ht="15" hidden="false" customHeight="false" outlineLevel="0" collapsed="false">
      <c r="A20" s="5" t="str">
        <f aca="false">Segment_Inputs!A9</f>
        <v>Commercial Real Estate</v>
      </c>
      <c r="B20" s="11" t="n">
        <f aca="false">MAX(0,Segment_Inputs!E9*(1+Segment_Inputs!G9*(Scenarios!$C$7-Scenarios!$B$11)*100))</f>
        <v>0.0137</v>
      </c>
      <c r="C20" s="11" t="n">
        <f aca="false">1-(1-B20)^Segment_Inputs!D9</f>
        <v>0.051069674457159</v>
      </c>
      <c r="D20" s="10" t="n">
        <f aca="false">IF(Segment_Inputs!I9="HPI",Scenarios!$E$7,IF(Segment_Inputs!I9="CRE",Scenarios!$F$7,0))</f>
        <v>-0.01</v>
      </c>
      <c r="E20" s="10" t="n">
        <f aca="false">MIN(1,MAX(0,Segment_Inputs!F9*(1-Segment_Inputs!H9*D20)))</f>
        <v>0.38608</v>
      </c>
      <c r="F20" s="6" t="n">
        <f aca="false">Segment_Inputs!C9</f>
        <v>98200</v>
      </c>
      <c r="G20" s="7" t="n">
        <f aca="false">F20*C20*E20</f>
        <v>1936.20742759604</v>
      </c>
    </row>
    <row r="21" customFormat="false" ht="15" hidden="false" customHeight="false" outlineLevel="0" collapsed="false">
      <c r="A21" s="5" t="str">
        <f aca="false">Segment_Inputs!A10</f>
        <v>Commercial &amp; Industrial</v>
      </c>
      <c r="B21" s="11" t="n">
        <f aca="false">MAX(0,Segment_Inputs!E10*(1+Segment_Inputs!G10*(Scenarios!$C$7-Scenarios!$B$11)*100))</f>
        <v>0.015</v>
      </c>
      <c r="C21" s="11" t="n">
        <f aca="false">1-(1-B21)^Segment_Inputs!D10</f>
        <v>0.0341641308937773</v>
      </c>
      <c r="D21" s="10" t="n">
        <f aca="false">IF(Segment_Inputs!I10="HPI",Scenarios!$E$7,IF(Segment_Inputs!I10="CRE",Scenarios!$F$7,0))</f>
        <v>0</v>
      </c>
      <c r="E21" s="10" t="n">
        <f aca="false">MIN(1,MAX(0,Segment_Inputs!F10*(1-Segment_Inputs!H10*D21)))</f>
        <v>0.41</v>
      </c>
      <c r="F21" s="6" t="n">
        <f aca="false">Segment_Inputs!C10</f>
        <v>172500</v>
      </c>
      <c r="G21" s="7" t="n">
        <f aca="false">F21*C21*E21</f>
        <v>2416.2581574624</v>
      </c>
    </row>
    <row r="22" customFormat="false" ht="15" hidden="false" customHeight="false" outlineLevel="0" collapsed="false">
      <c r="A22" s="5" t="str">
        <f aca="false">Segment_Inputs!A11</f>
        <v>Other Consumer &amp; Wholesale</v>
      </c>
      <c r="B22" s="11" t="n">
        <f aca="false">MAX(0,Segment_Inputs!E11*(1+Segment_Inputs!G11*(Scenarios!$C$7-Scenarios!$B$11)*100))</f>
        <v>0.0149</v>
      </c>
      <c r="C22" s="11" t="n">
        <f aca="false">1-(1-B22)^Segment_Inputs!D11</f>
        <v>0.0295779900000001</v>
      </c>
      <c r="D22" s="10" t="n">
        <f aca="false">IF(Segment_Inputs!I11="HPI",Scenarios!$E$7,IF(Segment_Inputs!I11="CRE",Scenarios!$F$7,0))</f>
        <v>0</v>
      </c>
      <c r="E22" s="10" t="n">
        <f aca="false">MIN(1,MAX(0,Segment_Inputs!F11*(1-Segment_Inputs!H11*D22)))</f>
        <v>0.33</v>
      </c>
      <c r="F22" s="6" t="n">
        <f aca="false">Segment_Inputs!C11</f>
        <v>49700</v>
      </c>
      <c r="G22" s="7" t="n">
        <f aca="false">F22*C22*E22</f>
        <v>485.108613990001</v>
      </c>
    </row>
    <row r="23" customFormat="false" ht="15" hidden="false" customHeight="false" outlineLevel="0" collapsed="false">
      <c r="A23" s="13" t="s">
        <v>130</v>
      </c>
      <c r="G23" s="9" t="n">
        <f aca="false">SUM(G17:G22)</f>
        <v>13817.0440300772</v>
      </c>
    </row>
    <row r="25" customFormat="false" ht="17.35" hidden="false" customHeight="false" outlineLevel="0" collapsed="false">
      <c r="A25" s="1" t="s">
        <v>131</v>
      </c>
    </row>
    <row r="26" customFormat="false" ht="30" hidden="false" customHeight="true" outlineLevel="0" collapsed="false">
      <c r="A26" s="4" t="s">
        <v>3</v>
      </c>
      <c r="B26" s="4" t="s">
        <v>122</v>
      </c>
      <c r="C26" s="4" t="s">
        <v>123</v>
      </c>
      <c r="D26" s="4" t="s">
        <v>124</v>
      </c>
      <c r="E26" s="4" t="s">
        <v>125</v>
      </c>
      <c r="F26" s="4" t="s">
        <v>126</v>
      </c>
      <c r="G26" s="4" t="s">
        <v>127</v>
      </c>
    </row>
    <row r="27" customFormat="false" ht="15" hidden="false" customHeight="false" outlineLevel="0" collapsed="false">
      <c r="A27" s="5" t="str">
        <f aca="false">Segment_Inputs!A6</f>
        <v>Credit Card</v>
      </c>
      <c r="B27" s="11" t="n">
        <f aca="false">MAX(0,Segment_Inputs!E6*(1+Segment_Inputs!G6*(Scenarios!$C$8-Scenarios!$B$11)*100))</f>
        <v>0.0522104</v>
      </c>
      <c r="C27" s="11" t="n">
        <f aca="false">1-(1-B27)^Segment_Inputs!D6</f>
        <v>0.0871271387244949</v>
      </c>
      <c r="D27" s="10" t="n">
        <f aca="false">IF(Segment_Inputs!I6="HPI",Scenarios!$E$8,IF(Segment_Inputs!I6="CRE",Scenarios!$F$8,0))</f>
        <v>0</v>
      </c>
      <c r="E27" s="10" t="n">
        <f aca="false">MIN(1,MAX(0,Segment_Inputs!F6*(1-Segment_Inputs!H6*D27)))</f>
        <v>0.88</v>
      </c>
      <c r="F27" s="6" t="n">
        <f aca="false">Segment_Inputs!C6</f>
        <v>138400</v>
      </c>
      <c r="G27" s="7" t="n">
        <f aca="false">F27*C27*E27</f>
        <v>10611.3884795337</v>
      </c>
    </row>
    <row r="28" customFormat="false" ht="15" hidden="false" customHeight="false" outlineLevel="0" collapsed="false">
      <c r="A28" s="5" t="str">
        <f aca="false">Segment_Inputs!A7</f>
        <v>Residential Mortgage</v>
      </c>
      <c r="B28" s="11" t="n">
        <f aca="false">MAX(0,Segment_Inputs!E7*(1+Segment_Inputs!G7*(Scenarios!$C$8-Scenarios!$B$11)*100))</f>
        <v>0.004676</v>
      </c>
      <c r="C28" s="11" t="n">
        <f aca="false">1-(1-B28)^Segment_Inputs!D7</f>
        <v>0.0300058936908862</v>
      </c>
      <c r="D28" s="10" t="n">
        <f aca="false">IF(Segment_Inputs!I7="HPI",Scenarios!$E$8,IF(Segment_Inputs!I7="CRE",Scenarios!$F$8,0))</f>
        <v>-0.085</v>
      </c>
      <c r="E28" s="10" t="n">
        <f aca="false">MIN(1,MAX(0,Segment_Inputs!F7*(1-Segment_Inputs!H7*D28)))</f>
        <v>0.16142</v>
      </c>
      <c r="F28" s="6" t="n">
        <f aca="false">Segment_Inputs!C7</f>
        <v>218600</v>
      </c>
      <c r="G28" s="7" t="n">
        <f aca="false">F28*C28*E28</f>
        <v>1058.80032720481</v>
      </c>
    </row>
    <row r="29" customFormat="false" ht="15" hidden="false" customHeight="false" outlineLevel="0" collapsed="false">
      <c r="A29" s="5" t="str">
        <f aca="false">Segment_Inputs!A8</f>
        <v>Auto</v>
      </c>
      <c r="B29" s="11" t="n">
        <f aca="false">MAX(0,Segment_Inputs!E8*(1+Segment_Inputs!G8*(Scenarios!$C$8-Scenarios!$B$11)*100))</f>
        <v>0.0133952</v>
      </c>
      <c r="C29" s="11" t="n">
        <f aca="false">1-(1-B29)^Segment_Inputs!D8</f>
        <v>0.0318475747512446</v>
      </c>
      <c r="D29" s="10" t="n">
        <f aca="false">IF(Segment_Inputs!I8="HPI",Scenarios!$E$8,IF(Segment_Inputs!I8="CRE",Scenarios!$F$8,0))</f>
        <v>0</v>
      </c>
      <c r="E29" s="10" t="n">
        <f aca="false">MIN(1,MAX(0,Segment_Inputs!F8*(1-Segment_Inputs!H8*D29)))</f>
        <v>0.42</v>
      </c>
      <c r="F29" s="6" t="n">
        <f aca="false">Segment_Inputs!C8</f>
        <v>64900</v>
      </c>
      <c r="G29" s="7" t="n">
        <f aca="false">F29*C29*E29</f>
        <v>868.101192569424</v>
      </c>
    </row>
    <row r="30" customFormat="false" ht="15" hidden="false" customHeight="false" outlineLevel="0" collapsed="false">
      <c r="A30" s="5" t="str">
        <f aca="false">Segment_Inputs!A9</f>
        <v>Commercial Real Estate</v>
      </c>
      <c r="B30" s="11" t="n">
        <f aca="false">MAX(0,Segment_Inputs!E9*(1+Segment_Inputs!G9*(Scenarios!$C$8-Scenarios!$B$11)*100))</f>
        <v>0.018632</v>
      </c>
      <c r="C30" s="11" t="n">
        <f aca="false">1-(1-B30)^Segment_Inputs!D9</f>
        <v>0.0689753236866171</v>
      </c>
      <c r="D30" s="10" t="n">
        <f aca="false">IF(Segment_Inputs!I9="HPI",Scenarios!$E$8,IF(Segment_Inputs!I9="CRE",Scenarios!$F$8,0))</f>
        <v>-0.14</v>
      </c>
      <c r="E30" s="10" t="n">
        <f aca="false">MIN(1,MAX(0,Segment_Inputs!F9*(1-Segment_Inputs!H9*D30)))</f>
        <v>0.46512</v>
      </c>
      <c r="F30" s="6" t="n">
        <f aca="false">Segment_Inputs!C9</f>
        <v>98200</v>
      </c>
      <c r="G30" s="7" t="n">
        <f aca="false">F30*C30*E30</f>
        <v>3150.43301071632</v>
      </c>
    </row>
    <row r="31" customFormat="false" ht="15" hidden="false" customHeight="false" outlineLevel="0" collapsed="false">
      <c r="A31" s="5" t="str">
        <f aca="false">Segment_Inputs!A10</f>
        <v>Commercial &amp; Industrial</v>
      </c>
      <c r="B31" s="11" t="n">
        <f aca="false">MAX(0,Segment_Inputs!E10*(1+Segment_Inputs!G10*(Scenarios!$C$8-Scenarios!$B$11)*100))</f>
        <v>0.01986</v>
      </c>
      <c r="C31" s="11" t="n">
        <f aca="false">1-(1-B31)^Segment_Inputs!D10</f>
        <v>0.0450895178551493</v>
      </c>
      <c r="D31" s="10" t="n">
        <f aca="false">IF(Segment_Inputs!I10="HPI",Scenarios!$E$8,IF(Segment_Inputs!I10="CRE",Scenarios!$F$8,0))</f>
        <v>0</v>
      </c>
      <c r="E31" s="10" t="n">
        <f aca="false">MIN(1,MAX(0,Segment_Inputs!F10*(1-Segment_Inputs!H10*D31)))</f>
        <v>0.41</v>
      </c>
      <c r="F31" s="6" t="n">
        <f aca="false">Segment_Inputs!C10</f>
        <v>172500</v>
      </c>
      <c r="G31" s="7" t="n">
        <f aca="false">F31*C31*E31</f>
        <v>3188.95615030543</v>
      </c>
    </row>
    <row r="32" customFormat="false" ht="15" hidden="false" customHeight="false" outlineLevel="0" collapsed="false">
      <c r="A32" s="5" t="str">
        <f aca="false">Segment_Inputs!A11</f>
        <v>Other Consumer &amp; Wholesale</v>
      </c>
      <c r="B32" s="11" t="n">
        <f aca="false">MAX(0,Segment_Inputs!E11*(1+Segment_Inputs!G11*(Scenarios!$C$8-Scenarios!$B$11)*100))</f>
        <v>0.018476</v>
      </c>
      <c r="C32" s="11" t="n">
        <f aca="false">1-(1-B32)^Segment_Inputs!D11</f>
        <v>0.0366106374240001</v>
      </c>
      <c r="D32" s="10" t="n">
        <f aca="false">IF(Segment_Inputs!I11="HPI",Scenarios!$E$8,IF(Segment_Inputs!I11="CRE",Scenarios!$F$8,0))</f>
        <v>0</v>
      </c>
      <c r="E32" s="10" t="n">
        <f aca="false">MIN(1,MAX(0,Segment_Inputs!F11*(1-Segment_Inputs!H11*D32)))</f>
        <v>0.33</v>
      </c>
      <c r="F32" s="6" t="n">
        <f aca="false">Segment_Inputs!C11</f>
        <v>49700</v>
      </c>
      <c r="G32" s="7" t="n">
        <f aca="false">F32*C32*E32</f>
        <v>600.451064391025</v>
      </c>
    </row>
    <row r="33" customFormat="false" ht="15" hidden="false" customHeight="false" outlineLevel="0" collapsed="false">
      <c r="A33" s="13" t="s">
        <v>132</v>
      </c>
      <c r="G33" s="9" t="n">
        <f aca="false">SUM(G27:G32)</f>
        <v>19478.1302247207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135</v>
      </c>
      <c r="B5" s="4" t="s">
        <v>136</v>
      </c>
      <c r="C5" s="4" t="s">
        <v>137</v>
      </c>
      <c r="D5" s="4" t="s">
        <v>138</v>
      </c>
      <c r="E5" s="4" t="s">
        <v>139</v>
      </c>
    </row>
    <row r="6" customFormat="false" ht="15" hidden="false" customHeight="false" outlineLevel="0" collapsed="false">
      <c r="A6" s="13" t="s">
        <v>140</v>
      </c>
      <c r="B6" s="6" t="n">
        <f aca="false">Allowance_Summary!B12</f>
        <v>12434.7623088279</v>
      </c>
      <c r="C6" s="7" t="n">
        <f aca="false">B6+Allowance_Summary!$F$12</f>
        <v>13115.8487646075</v>
      </c>
      <c r="D6" s="7" t="n">
        <f aca="false">C6-Allowance_Summary!$H$12</f>
        <v>-2804.15123539248</v>
      </c>
      <c r="E6" s="10" t="n">
        <f aca="false">IF(Allowance_Summary!$H$12=0,0,D6/Allowance_Summary!$H$12)</f>
        <v>-0.176140152976914</v>
      </c>
    </row>
    <row r="7" customFormat="false" ht="15" hidden="false" customHeight="false" outlineLevel="0" collapsed="false">
      <c r="A7" s="13" t="s">
        <v>141</v>
      </c>
      <c r="B7" s="6" t="n">
        <f aca="false">Allowance_Summary!C12</f>
        <v>13817.0440300772</v>
      </c>
      <c r="C7" s="7" t="n">
        <f aca="false">B7+Allowance_Summary!$F$12</f>
        <v>14498.1304858568</v>
      </c>
      <c r="D7" s="7" t="n">
        <f aca="false">C7-Allowance_Summary!$H$12</f>
        <v>-1421.8695141432</v>
      </c>
      <c r="E7" s="10" t="n">
        <f aca="false">IF(Allowance_Summary!$H$12=0,0,D7/Allowance_Summary!$H$12)</f>
        <v>-0.0893134116924121</v>
      </c>
    </row>
    <row r="8" customFormat="false" ht="15" hidden="false" customHeight="false" outlineLevel="0" collapsed="false">
      <c r="A8" s="13" t="s">
        <v>142</v>
      </c>
      <c r="B8" s="6" t="n">
        <f aca="false">Allowance_Summary!D12</f>
        <v>19478.1302247207</v>
      </c>
      <c r="C8" s="7" t="n">
        <f aca="false">B8+Allowance_Summary!$F$12</f>
        <v>20159.2166805003</v>
      </c>
      <c r="D8" s="7" t="n">
        <f aca="false">C8-Allowance_Summary!$H$12</f>
        <v>4239.21668050034</v>
      </c>
      <c r="E8" s="10" t="n">
        <f aca="false">IF(Allowance_Summary!$H$12=0,0,D8/Allowance_Summary!$H$12)</f>
        <v>0.266282454805298</v>
      </c>
    </row>
    <row r="9" customFormat="false" ht="15" hidden="false" customHeight="false" outlineLevel="0" collapsed="false">
      <c r="A9" s="13" t="s">
        <v>143</v>
      </c>
      <c r="B9" s="6" t="n">
        <f aca="false">Allowance_Summary!E12</f>
        <v>15238.9135442204</v>
      </c>
      <c r="C9" s="7" t="n">
        <f aca="false">B9+Allowance_Summary!$F$12</f>
        <v>15920</v>
      </c>
      <c r="D9" s="7" t="n">
        <f aca="false">C9-Allowance_Summary!$H$12</f>
        <v>0</v>
      </c>
      <c r="E9" s="10" t="n">
        <f aca="false">IF(Allowance_Summary!$H$12=0,0,D9/Allowance_Summary!$H$12)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2026-10-04T07:39:09Z</dcterms:created>
  <dc:creator>openpyxl</dc:creator>
  <dc:description/>
  <dc:language>en-US</dc:language>
  <cp:lastModifiedBy/>
  <dcterms:modified xsi:type="dcterms:W3CDTF">2026-10-04T07:39:09Z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