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Balance_Sheet" sheetId="4" state="visible" r:id="rId6"/>
    <sheet name="NII_Projection" sheetId="5" state="visible" r:id="rId7"/>
    <sheet name="EV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5" authorId="0">
      <text>
        <r>
          <rPr>
            <sz val="10"/>
            <rFont val="Arial"/>
            <family val="2"/>
          </rPr>
          <t xml:space="preserve">Deposit beta from Deposit Behaviour sub-model (2025 calibration).</t>
        </r>
      </text>
    </comment>
    <comment ref="L16" authorId="0">
      <text>
        <r>
          <rPr>
            <sz val="10"/>
            <rFont val="Arial"/>
            <family val="2"/>
          </rPr>
          <t xml:space="preserve">Deposit beta from Deposit Behaviour sub-model (2025 calibration).</t>
        </r>
      </text>
    </comment>
    <comment ref="L17" authorId="0">
      <text>
        <r>
          <rPr>
            <sz val="10"/>
            <rFont val="Arial"/>
            <family val="2"/>
          </rPr>
          <t xml:space="preserve">Deposit beta from Deposit Behaviour sub-model (2025 calibration).</t>
        </r>
      </text>
    </comment>
    <comment ref="L18" authorId="0">
      <text>
        <r>
          <rPr>
            <sz val="10"/>
            <rFont val="Arial"/>
            <family val="2"/>
          </rPr>
          <t xml:space="preserve">Deposit beta from Deposit Behaviour sub-model (2025 calibration).</t>
        </r>
      </text>
    </comment>
    <comment ref="L19" authorId="0">
      <text>
        <r>
          <rPr>
            <sz val="10"/>
            <rFont val="Arial"/>
            <family val="2"/>
          </rPr>
          <t xml:space="preserve">Deposit beta from Deposit Behaviour sub-model (2025 calibration).</t>
        </r>
      </text>
    </comment>
  </commentList>
</comments>
</file>

<file path=xl/sharedStrings.xml><?xml version="1.0" encoding="utf-8"?>
<sst xmlns="http://schemas.openxmlformats.org/spreadsheetml/2006/main" count="215" uniqueCount="147">
  <si>
    <t xml:space="preserve">Net Interest Income Sensitivity Model  (MDL-ALM-014)</t>
  </si>
  <si>
    <t xml:space="preserve">Meridian Harbor Financial Corp. - model documentation sheet</t>
  </si>
  <si>
    <t xml:space="preserve">SYNTHETIC DOCUMENT FOR A PROOF OF CONCEPT. Meridian Harbor Financial Corp. is a fictional institution. All names, figures and events are invented and do not describe any real company.</t>
  </si>
  <si>
    <t xml:space="preserve">Model ID</t>
  </si>
  <si>
    <t xml:space="preserve">MDL-ALM-014</t>
  </si>
  <si>
    <t xml:space="preserve">Model name</t>
  </si>
  <si>
    <t xml:space="preserve">Net Interest Income Sensitivity Model</t>
  </si>
  <si>
    <t xml:space="preserve">Risk tier</t>
  </si>
  <si>
    <t xml:space="preserve">Tier 1 (High)</t>
  </si>
  <si>
    <t xml:space="preserve">Model owner</t>
  </si>
  <si>
    <t xml:space="preserve">Corporate Treasury - Asset &amp; Liability Management</t>
  </si>
  <si>
    <t xml:space="preserve">Independent validator</t>
  </si>
  <si>
    <t xml:space="preserve">Model Risk Governance &amp; Review (MRGR)</t>
  </si>
  <si>
    <t xml:space="preserve">Last validation</t>
  </si>
  <si>
    <t xml:space="preserve">2025-09-18</t>
  </si>
  <si>
    <t xml:space="preserve">Next validation due</t>
  </si>
  <si>
    <t xml:space="preserve">2026-09-30</t>
  </si>
  <si>
    <t xml:space="preserve">Purpose</t>
  </si>
  <si>
    <t xml:space="preserve">Projects 12-month net interest income under parallel rate shocks and economic value of equity (EVE) sensitivity for IRRBB reporting.</t>
  </si>
  <si>
    <t xml:space="preserve">Upstream data feeds (APIs)</t>
  </si>
  <si>
    <t xml:space="preserve">API-12 Market Data API; API-15 Treasury Liquidity Positions API; API-11 Loan Servicing API</t>
  </si>
  <si>
    <t xml:space="preserve">Downstream disclosures</t>
  </si>
  <si>
    <t xml:space="preserve">Annual Report - Market Risk Management; Pillar 3 - Interest Rate Risk in the Banking Book</t>
  </si>
  <si>
    <t xml:space="preserve">Units</t>
  </si>
  <si>
    <t xml:space="preserve">USD millions unless stated otherwise; rates stored as decimals</t>
  </si>
  <si>
    <t xml:space="preserve">As-of date</t>
  </si>
  <si>
    <t xml:space="preserve">See Assumptions sheet</t>
  </si>
  <si>
    <t xml:space="preserve">Sheets</t>
  </si>
  <si>
    <t xml:space="preserve">Assumptions</t>
  </si>
  <si>
    <t xml:space="preserve">As-of date, policy rate, rate shock grid, repricing timing conventions, risk limits.</t>
  </si>
  <si>
    <t xml:space="preserve">Balance_Sheet</t>
  </si>
  <si>
    <t xml:space="preserve">Rate-sensitive assets and liabilities with balances, yields/costs, repricing profile, deposit betas and modified durations.</t>
  </si>
  <si>
    <t xml:space="preserve">NII_Projection</t>
  </si>
  <si>
    <t xml:space="preserve">Base-case 12-month NII and the change in NII for each parallel shock.</t>
  </si>
  <si>
    <t xml:space="preserve">EVE</t>
  </si>
  <si>
    <t xml:space="preserve">Economic value of equity sensitivity using a modified-duration approximation.</t>
  </si>
  <si>
    <t xml:space="preserve">Summary</t>
  </si>
  <si>
    <t xml:space="preserve">Results versus Board-approved IRRBB limits; feeds Annual Report and Pillar 3.</t>
  </si>
  <si>
    <t xml:space="preserve">How the model works</t>
  </si>
  <si>
    <t xml:space="preserve">1.</t>
  </si>
  <si>
    <t xml:space="preserve">Base NII = sum over assets of balance x yield, minus sum over liabilities of balance x cost.</t>
  </si>
  <si>
    <t xml:space="preserve">2.</t>
  </si>
  <si>
    <t xml:space="preserve">For each shock, every position reprices only for the fraction of the 12-month horizon remaining after its repricing date (bucket midpoint): 0-3m reprices at month 1.5, 3-12m at month 7.5.</t>
  </si>
  <si>
    <t xml:space="preserve">3.</t>
  </si>
  <si>
    <t xml:space="preserve">Asset rates move one-for-one with the shock (asset beta in column L); liability rates move by shock x deposit beta.</t>
  </si>
  <si>
    <t xml:space="preserve">4.</t>
  </si>
  <si>
    <t xml:space="preserve">Change in NII = asset repricing effect - liability repricing effect. Static balance sheet (no growth, no mix shift).</t>
  </si>
  <si>
    <t xml:space="preserve">5.</t>
  </si>
  <si>
    <t xml:space="preserve">EVE change = -(asset value x modified duration - liability value x modified duration) x shock.</t>
  </si>
  <si>
    <t xml:space="preserve">Key inputs</t>
  </si>
  <si>
    <t xml:space="preserve">Balances and yields from API-15 Treasury Liquidity Positions API (month-end snapshot).</t>
  </si>
  <si>
    <t xml:space="preserve">Loan repricing profiles from API-11 Loan Servicing API.</t>
  </si>
  <si>
    <t xml:space="preserve">Yield curve and policy rate from API-12 Market Data API.</t>
  </si>
  <si>
    <t xml:space="preserve">Deposit betas from the Deposit Behaviour sub-model (annual calibration, MRGR approved).</t>
  </si>
  <si>
    <t xml:space="preserve">Key outputs</t>
  </si>
  <si>
    <t xml:space="preserve">12-month NII under +/-100 bp and +/-200 bp parallel shocks.</t>
  </si>
  <si>
    <t xml:space="preserve">EVE sensitivity as a % of Tier 1 capital.</t>
  </si>
  <si>
    <t xml:space="preserve">Limit utilisation flags used in ALCO reporting.</t>
  </si>
  <si>
    <t xml:space="preserve">Limits, controls and known limitations</t>
  </si>
  <si>
    <t xml:space="preserve">Board limit: NII decline no greater than 7.0% of base NII in any parallel shock.</t>
  </si>
  <si>
    <t xml:space="preserve">Board limit: EVE decline no greater than 15.0% of Tier 1 capital.</t>
  </si>
  <si>
    <t xml:space="preserve">Limitations: parallel shocks only (no twists), static balance sheet, no rate floors on deposit costs below zero, betas held constant across shock sizes.</t>
  </si>
  <si>
    <t xml:space="preserve">Compensating control: dynamic balance-sheet simulation run quarterly in the ALM engine.</t>
  </si>
  <si>
    <t xml:space="preserve">Colour legend</t>
  </si>
  <si>
    <t xml:space="preserve">Blue text = hard-coded input / scenario lever</t>
  </si>
  <si>
    <t xml:space="preserve">Black text = formula</t>
  </si>
  <si>
    <t xml:space="preserve">Green text = link to another sheet</t>
  </si>
  <si>
    <t xml:space="preserve">Yellow fill = key assumption</t>
  </si>
  <si>
    <t xml:space="preserve">IRRBB Summary vs Limits</t>
  </si>
  <si>
    <t xml:space="preserve">Feeds: Annual Report (Market Risk) and Pillar 3 (IRRBB)</t>
  </si>
  <si>
    <t xml:space="preserve">Scenario</t>
  </si>
  <si>
    <t xml:space="preserve">Shock (bps)</t>
  </si>
  <si>
    <t xml:space="preserve">Projected NII ($mm)</t>
  </si>
  <si>
    <t xml:space="preserve">Change in NII ($mm)</t>
  </si>
  <si>
    <t xml:space="preserve">Change in NII (%)</t>
  </si>
  <si>
    <t xml:space="preserve">NII limit status</t>
  </si>
  <si>
    <t xml:space="preserve">Change in EVE ($mm)</t>
  </si>
  <si>
    <t xml:space="preserve">EVE % of Tier 1</t>
  </si>
  <si>
    <t xml:space="preserve">EVE limit status</t>
  </si>
  <si>
    <t xml:space="preserve">All rates as decimals; shocks in basis points</t>
  </si>
  <si>
    <t xml:space="preserve">Assumption</t>
  </si>
  <si>
    <t xml:space="preserve">Value</t>
  </si>
  <si>
    <t xml:space="preserve">Source / note</t>
  </si>
  <si>
    <t xml:space="preserve">2025-12-31</t>
  </si>
  <si>
    <t xml:space="preserve">Month-end snapshot used for the FY2025 Annual Report.</t>
  </si>
  <si>
    <t xml:space="preserve">Policy rate (fed funds upper bound)</t>
  </si>
  <si>
    <t xml:space="preserve">Source: API-12 Market Data API, series POLICY.FEDFUNDS.UB</t>
  </si>
  <si>
    <t xml:space="preserve">Projection horizon (months)</t>
  </si>
  <si>
    <t xml:space="preserve">Standard IRRBB earnings horizon.</t>
  </si>
  <si>
    <t xml:space="preserve">Repricing month - bucket 0-3m (midpoint)</t>
  </si>
  <si>
    <t xml:space="preserve">Convention: midpoint of bucket.</t>
  </si>
  <si>
    <t xml:space="preserve">Repricing month - bucket 3-12m (midpoint)</t>
  </si>
  <si>
    <t xml:space="preserve">NII limit (max decline, % of base)</t>
  </si>
  <si>
    <t xml:space="preserve">Board Risk Committee limit, approved 2025-03.</t>
  </si>
  <si>
    <t xml:space="preserve">EVE limit (max decline, % of Tier 1)</t>
  </si>
  <si>
    <t xml:space="preserve">Tier 1 capital ($mm)</t>
  </si>
  <si>
    <t xml:space="preserve">Source: API-16 Regulatory Reporting API, YE2025.</t>
  </si>
  <si>
    <t xml:space="preserve">Down 200</t>
  </si>
  <si>
    <t xml:space="preserve">Down 100</t>
  </si>
  <si>
    <t xml:space="preserve">Base</t>
  </si>
  <si>
    <t xml:space="preserve">Up 100</t>
  </si>
  <si>
    <t xml:space="preserve">Up 200</t>
  </si>
  <si>
    <t xml:space="preserve">Rate-Sensitive Balance Sheet</t>
  </si>
  <si>
    <t xml:space="preserve">Balances $mm at 2025-12-31; repricing shares sum to 100% per row</t>
  </si>
  <si>
    <t xml:space="preserve">Line</t>
  </si>
  <si>
    <t xml:space="preserve">Side</t>
  </si>
  <si>
    <t xml:space="preserve">Balance ($mm)</t>
  </si>
  <si>
    <t xml:space="preserve">Yield / cost</t>
  </si>
  <si>
    <t xml:space="preserve">Reprice 0-3m</t>
  </si>
  <si>
    <t xml:space="preserve">Reprice 3-12m</t>
  </si>
  <si>
    <t xml:space="preserve">Reprice 1-5y</t>
  </si>
  <si>
    <t xml:space="preserve">Reprice &gt;5y</t>
  </si>
  <si>
    <t xml:space="preserve">Share check</t>
  </si>
  <si>
    <t xml:space="preserve">Annual interest ($mm)</t>
  </si>
  <si>
    <t xml:space="preserve">Mod. duration (yrs)</t>
  </si>
  <si>
    <t xml:space="preserve">Rate beta</t>
  </si>
  <si>
    <t xml:space="preserve">Feed</t>
  </si>
  <si>
    <t xml:space="preserve">Deposits with banks &amp; fed funds sold</t>
  </si>
  <si>
    <t xml:space="preserve">Asset</t>
  </si>
  <si>
    <t xml:space="preserve">API-15</t>
  </si>
  <si>
    <t xml:space="preserve">Investment securities (AFS + HTM)</t>
  </si>
  <si>
    <t xml:space="preserve">Trading assets (interest-earning)</t>
  </si>
  <si>
    <t xml:space="preserve">Credit card loans</t>
  </si>
  <si>
    <t xml:space="preserve">API-11</t>
  </si>
  <si>
    <t xml:space="preserve">Residential mortgage loans</t>
  </si>
  <si>
    <t xml:space="preserve">Auto loans</t>
  </si>
  <si>
    <t xml:space="preserve">Commercial real estate loans</t>
  </si>
  <si>
    <t xml:space="preserve">Commercial &amp; industrial loans</t>
  </si>
  <si>
    <t xml:space="preserve">Other consumer &amp; wholesale loans</t>
  </si>
  <si>
    <t xml:space="preserve">Consumer interest-bearing deposits</t>
  </si>
  <si>
    <t xml:space="preserve">Liability</t>
  </si>
  <si>
    <t xml:space="preserve">Wholesale interest-bearing deposits</t>
  </si>
  <si>
    <t xml:space="preserve">Noninterest-bearing deposits</t>
  </si>
  <si>
    <t xml:space="preserve">Repo &amp; short-term borrowings</t>
  </si>
  <si>
    <t xml:space="preserve">Long-term debt</t>
  </si>
  <si>
    <t xml:space="preserve">Total rate-sensitive assets</t>
  </si>
  <si>
    <t xml:space="preserve">Total rate-sensitive liabilities</t>
  </si>
  <si>
    <t xml:space="preserve">Base-case annual net interest income</t>
  </si>
  <si>
    <t xml:space="preserve">12-Month NII Projection by Parallel Shock</t>
  </si>
  <si>
    <t xml:space="preserve">Effect = balance x shock x beta x (share 0-3m x (H-1.5)/H + share 3-12m x (H-7.5)/H)</t>
  </si>
  <si>
    <t xml:space="preserve">Repricing factor</t>
  </si>
  <si>
    <t xml:space="preserve">Base-case NII ($mm)</t>
  </si>
  <si>
    <t xml:space="preserve">Economic Value of Equity Sensitivity</t>
  </si>
  <si>
    <t xml:space="preserve">dEVE ~= -(sum asset PV x duration - sum liability PV x duration) x shock</t>
  </si>
  <si>
    <t xml:space="preserve">Mod. duration</t>
  </si>
  <si>
    <t xml:space="preserve">Dollar duration ($mm per 100 bp)</t>
  </si>
  <si>
    <t xml:space="preserve">Change in EVE (% of Tier 1)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</si>
</sst>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&quot; bps&quot;;\(0&quot; bps)&quot;;&quot;0 bps&quot;"/>
    <numFmt numFmtId="166" formatCode="\$#,##0;&quot;($&quot;#,##0\);\-"/>
    <numFmt numFmtId="167" formatCode="0.0%;\(0.0%\);\-"/>
    <numFmt numFmtId="168" formatCode="0.00%;\(0.00%\);\-"/>
    <numFmt numFmtId="169" formatCode="0"/>
    <numFmt numFmtId="170" formatCode="#,##0.0;\(#,##0.0\);\-"/>
    <numFmt numFmtId="171" formatCode="0.00;\(0.00\);\-"/>
    <numFmt numFmtId="172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AA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  <row r="15" customFormat="false" ht="15" hidden="false" customHeight="false" outlineLevel="0" collapsed="false">
      <c r="A15" s="4" t="s">
        <v>23</v>
      </c>
      <c r="B15" s="5" t="s">
        <v>24</v>
      </c>
    </row>
    <row r="16" customFormat="false" ht="15" hidden="false" customHeight="false" outlineLevel="0" collapsed="false">
      <c r="A16" s="4" t="s">
        <v>25</v>
      </c>
      <c r="B16" s="5" t="s">
        <v>26</v>
      </c>
    </row>
    <row r="17" customFormat="false" ht="15" hidden="false" customHeight="false" outlineLevel="0" collapsed="false">
      <c r="B17" s="6"/>
    </row>
    <row r="18" customFormat="false" ht="17.35" hidden="false" customHeight="false" outlineLevel="0" collapsed="false">
      <c r="A18" s="1" t="s">
        <v>27</v>
      </c>
      <c r="B18" s="6"/>
    </row>
    <row r="19" customFormat="false" ht="15" hidden="false" customHeight="false" outlineLevel="0" collapsed="false">
      <c r="A19" s="4" t="s">
        <v>28</v>
      </c>
      <c r="B19" s="6" t="s">
        <v>29</v>
      </c>
    </row>
    <row r="20" customFormat="false" ht="15" hidden="false" customHeight="false" outlineLevel="0" collapsed="false">
      <c r="A20" s="4" t="s">
        <v>30</v>
      </c>
      <c r="B20" s="6" t="s">
        <v>31</v>
      </c>
    </row>
    <row r="21" customFormat="false" ht="15" hidden="false" customHeight="false" outlineLevel="0" collapsed="false">
      <c r="A21" s="4" t="s">
        <v>32</v>
      </c>
      <c r="B21" s="6" t="s">
        <v>33</v>
      </c>
    </row>
    <row r="22" customFormat="false" ht="15" hidden="false" customHeight="false" outlineLevel="0" collapsed="false">
      <c r="A22" s="4" t="s">
        <v>34</v>
      </c>
      <c r="B22" s="6" t="s">
        <v>35</v>
      </c>
    </row>
    <row r="23" customFormat="false" ht="15" hidden="false" customHeight="false" outlineLevel="0" collapsed="false">
      <c r="A23" s="4" t="s">
        <v>36</v>
      </c>
      <c r="B23" s="6" t="s">
        <v>37</v>
      </c>
    </row>
    <row r="24" customFormat="false" ht="15" hidden="false" customHeight="false" outlineLevel="0" collapsed="false">
      <c r="B24" s="6"/>
    </row>
    <row r="25" customFormat="false" ht="17.35" hidden="false" customHeight="false" outlineLevel="0" collapsed="false">
      <c r="A25" s="1" t="s">
        <v>38</v>
      </c>
      <c r="B25" s="6"/>
    </row>
    <row r="26" customFormat="false" ht="15" hidden="false" customHeight="false" outlineLevel="0" collapsed="false">
      <c r="A26" s="7" t="s">
        <v>39</v>
      </c>
      <c r="B26" s="6" t="s">
        <v>40</v>
      </c>
    </row>
    <row r="27" customFormat="false" ht="28.35" hidden="false" customHeight="false" outlineLevel="0" collapsed="false">
      <c r="A27" s="7" t="s">
        <v>41</v>
      </c>
      <c r="B27" s="6" t="s">
        <v>42</v>
      </c>
    </row>
    <row r="28" customFormat="false" ht="15" hidden="false" customHeight="false" outlineLevel="0" collapsed="false">
      <c r="A28" s="7" t="s">
        <v>43</v>
      </c>
      <c r="B28" s="6" t="s">
        <v>44</v>
      </c>
    </row>
    <row r="29" customFormat="false" ht="15" hidden="false" customHeight="false" outlineLevel="0" collapsed="false">
      <c r="A29" s="7" t="s">
        <v>45</v>
      </c>
      <c r="B29" s="6" t="s">
        <v>46</v>
      </c>
    </row>
    <row r="30" customFormat="false" ht="15" hidden="false" customHeight="false" outlineLevel="0" collapsed="false">
      <c r="A30" s="7" t="s">
        <v>47</v>
      </c>
      <c r="B30" s="6" t="s">
        <v>48</v>
      </c>
    </row>
    <row r="31" customFormat="false" ht="15" hidden="false" customHeight="false" outlineLevel="0" collapsed="false">
      <c r="B31" s="6"/>
    </row>
    <row r="32" customFormat="false" ht="17.35" hidden="false" customHeight="false" outlineLevel="0" collapsed="false">
      <c r="A32" s="1" t="s">
        <v>49</v>
      </c>
      <c r="B32" s="6"/>
    </row>
    <row r="33" customFormat="false" ht="15" hidden="false" customHeight="false" outlineLevel="0" collapsed="false">
      <c r="A33" s="7" t="s">
        <v>39</v>
      </c>
      <c r="B33" s="6" t="s">
        <v>50</v>
      </c>
    </row>
    <row r="34" customFormat="false" ht="15" hidden="false" customHeight="false" outlineLevel="0" collapsed="false">
      <c r="A34" s="7" t="s">
        <v>41</v>
      </c>
      <c r="B34" s="6" t="s">
        <v>51</v>
      </c>
    </row>
    <row r="35" customFormat="false" ht="15" hidden="false" customHeight="false" outlineLevel="0" collapsed="false">
      <c r="A35" s="7" t="s">
        <v>43</v>
      </c>
      <c r="B35" s="6" t="s">
        <v>52</v>
      </c>
    </row>
    <row r="36" customFormat="false" ht="15" hidden="false" customHeight="false" outlineLevel="0" collapsed="false">
      <c r="A36" s="7" t="s">
        <v>45</v>
      </c>
      <c r="B36" s="6" t="s">
        <v>53</v>
      </c>
    </row>
    <row r="37" customFormat="false" ht="15" hidden="false" customHeight="false" outlineLevel="0" collapsed="false">
      <c r="B37" s="6"/>
    </row>
    <row r="38" customFormat="false" ht="17.35" hidden="false" customHeight="false" outlineLevel="0" collapsed="false">
      <c r="A38" s="1" t="s">
        <v>54</v>
      </c>
      <c r="B38" s="6"/>
    </row>
    <row r="39" customFormat="false" ht="15" hidden="false" customHeight="false" outlineLevel="0" collapsed="false">
      <c r="A39" s="7" t="s">
        <v>39</v>
      </c>
      <c r="B39" s="6" t="s">
        <v>55</v>
      </c>
    </row>
    <row r="40" customFormat="false" ht="15" hidden="false" customHeight="false" outlineLevel="0" collapsed="false">
      <c r="A40" s="7" t="s">
        <v>41</v>
      </c>
      <c r="B40" s="6" t="s">
        <v>56</v>
      </c>
    </row>
    <row r="41" customFormat="false" ht="15" hidden="false" customHeight="false" outlineLevel="0" collapsed="false">
      <c r="A41" s="7" t="s">
        <v>43</v>
      </c>
      <c r="B41" s="6" t="s">
        <v>57</v>
      </c>
    </row>
    <row r="42" customFormat="false" ht="15" hidden="false" customHeight="false" outlineLevel="0" collapsed="false">
      <c r="B42" s="6"/>
    </row>
    <row r="43" customFormat="false" ht="17.35" hidden="false" customHeight="false" outlineLevel="0" collapsed="false">
      <c r="A43" s="1" t="s">
        <v>58</v>
      </c>
      <c r="B43" s="6"/>
    </row>
    <row r="44" customFormat="false" ht="15" hidden="false" customHeight="false" outlineLevel="0" collapsed="false">
      <c r="A44" s="7" t="s">
        <v>39</v>
      </c>
      <c r="B44" s="6" t="s">
        <v>59</v>
      </c>
    </row>
    <row r="45" customFormat="false" ht="15" hidden="false" customHeight="false" outlineLevel="0" collapsed="false">
      <c r="A45" s="7" t="s">
        <v>41</v>
      </c>
      <c r="B45" s="6" t="s">
        <v>60</v>
      </c>
    </row>
    <row r="46" customFormat="false" ht="28.35" hidden="false" customHeight="false" outlineLevel="0" collapsed="false">
      <c r="A46" s="7" t="s">
        <v>43</v>
      </c>
      <c r="B46" s="6" t="s">
        <v>61</v>
      </c>
    </row>
    <row r="47" customFormat="false" ht="15" hidden="false" customHeight="false" outlineLevel="0" collapsed="false">
      <c r="A47" s="7" t="s">
        <v>45</v>
      </c>
      <c r="B47" s="6" t="s">
        <v>62</v>
      </c>
    </row>
    <row r="48" customFormat="false" ht="15" hidden="false" customHeight="false" outlineLevel="0" collapsed="false">
      <c r="B48" s="6"/>
    </row>
    <row r="49" customFormat="false" ht="17.35" hidden="false" customHeight="false" outlineLevel="0" collapsed="false">
      <c r="A49" s="1" t="s">
        <v>63</v>
      </c>
      <c r="B49" s="6"/>
    </row>
    <row r="50" customFormat="false" ht="15" hidden="false" customHeight="false" outlineLevel="0" collapsed="false">
      <c r="B50" s="8" t="s">
        <v>64</v>
      </c>
    </row>
    <row r="51" customFormat="false" ht="15" hidden="false" customHeight="false" outlineLevel="0" collapsed="false">
      <c r="B51" s="5" t="s">
        <v>65</v>
      </c>
    </row>
    <row r="52" customFormat="false" ht="15" hidden="false" customHeight="false" outlineLevel="0" collapsed="false">
      <c r="B52" s="9" t="s">
        <v>66</v>
      </c>
    </row>
    <row r="53" customFormat="false" ht="15" hidden="false" customHeight="false" outlineLevel="0" collapsed="false">
      <c r="B53" s="10" t="s">
        <v>67</v>
      </c>
    </row>
    <row r="54" customFormat="false" ht="15" hidden="false" customHeight="false" outlineLevel="0" collapsed="false">
      <c r="B5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70</v>
      </c>
      <c r="B5" s="11" t="s">
        <v>71</v>
      </c>
      <c r="C5" s="11" t="s">
        <v>72</v>
      </c>
      <c r="D5" s="11" t="s">
        <v>73</v>
      </c>
      <c r="E5" s="11" t="s">
        <v>74</v>
      </c>
      <c r="F5" s="11" t="s">
        <v>75</v>
      </c>
      <c r="G5" s="11" t="s">
        <v>76</v>
      </c>
      <c r="H5" s="11" t="s">
        <v>77</v>
      </c>
      <c r="I5" s="11" t="s">
        <v>78</v>
      </c>
    </row>
    <row r="6" customFormat="false" ht="15" hidden="false" customHeight="false" outlineLevel="0" collapsed="false">
      <c r="A6" s="12" t="str">
        <f aca="false">Assumptions!A17</f>
        <v>Down 200</v>
      </c>
      <c r="B6" s="13" t="n">
        <f aca="false">Assumptions!B17</f>
        <v>-200</v>
      </c>
      <c r="C6" s="14" t="n">
        <f aca="false">NII_Projection!D24</f>
        <v>47220.0225</v>
      </c>
      <c r="D6" s="14" t="n">
        <f aca="false">NII_Projection!D22</f>
        <v>-3016.8875</v>
      </c>
      <c r="E6" s="15" t="n">
        <f aca="false">NII_Projection!D25</f>
        <v>-0.0600532058998056</v>
      </c>
      <c r="F6" s="16" t="str">
        <f aca="false">IF(E6&lt;-Assumptions!$B$11,"BREACH","Within limit")</f>
        <v>Within limit</v>
      </c>
      <c r="G6" s="14" t="n">
        <f aca="false">EVE!F22</f>
        <v>2737.4</v>
      </c>
      <c r="H6" s="15" t="n">
        <f aca="false">EVE!F24</f>
        <v>0.0247459772193093</v>
      </c>
      <c r="I6" s="16" t="str">
        <f aca="false">IF(H6&lt;-Assumptions!$B$12,"BREACH","Within limit")</f>
        <v>Within limit</v>
      </c>
    </row>
    <row r="7" customFormat="false" ht="15" hidden="false" customHeight="false" outlineLevel="0" collapsed="false">
      <c r="A7" s="12" t="str">
        <f aca="false">Assumptions!A18</f>
        <v>Down 100</v>
      </c>
      <c r="B7" s="13" t="n">
        <f aca="false">Assumptions!B18</f>
        <v>-100</v>
      </c>
      <c r="C7" s="14" t="n">
        <f aca="false">NII_Projection!E24</f>
        <v>48728.46625</v>
      </c>
      <c r="D7" s="14" t="n">
        <f aca="false">NII_Projection!E22</f>
        <v>-1508.44375</v>
      </c>
      <c r="E7" s="15" t="n">
        <f aca="false">NII_Projection!E25</f>
        <v>-0.0300266029499028</v>
      </c>
      <c r="F7" s="16" t="str">
        <f aca="false">IF(E7&lt;-Assumptions!$B$11,"BREACH","Within limit")</f>
        <v>Within limit</v>
      </c>
      <c r="G7" s="14" t="n">
        <f aca="false">EVE!G22</f>
        <v>1368.7</v>
      </c>
      <c r="H7" s="15" t="n">
        <f aca="false">EVE!G24</f>
        <v>0.0123729886096547</v>
      </c>
      <c r="I7" s="16" t="str">
        <f aca="false">IF(H7&lt;-Assumptions!$B$12,"BREACH","Within limit")</f>
        <v>Within limit</v>
      </c>
    </row>
    <row r="8" customFormat="false" ht="15" hidden="false" customHeight="false" outlineLevel="0" collapsed="false">
      <c r="A8" s="12" t="str">
        <f aca="false">Assumptions!A19</f>
        <v>Base</v>
      </c>
      <c r="B8" s="13" t="n">
        <f aca="false">Assumptions!B19</f>
        <v>0</v>
      </c>
      <c r="C8" s="14" t="n">
        <f aca="false">NII_Projection!F24</f>
        <v>50236.91</v>
      </c>
      <c r="D8" s="14" t="n">
        <f aca="false">NII_Projection!F22</f>
        <v>0</v>
      </c>
      <c r="E8" s="15" t="n">
        <f aca="false">NII_Projection!F25</f>
        <v>0</v>
      </c>
      <c r="F8" s="16" t="str">
        <f aca="false">IF(E8&lt;-Assumptions!$B$11,"BREACH","Within limit")</f>
        <v>Within limit</v>
      </c>
      <c r="G8" s="14" t="n">
        <f aca="false">EVE!H22</f>
        <v>0</v>
      </c>
      <c r="H8" s="15" t="n">
        <f aca="false">EVE!H24</f>
        <v>0</v>
      </c>
      <c r="I8" s="16" t="str">
        <f aca="false">IF(H8&lt;-Assumptions!$B$12,"BREACH","Within limit")</f>
        <v>Within limit</v>
      </c>
    </row>
    <row r="9" customFormat="false" ht="15" hidden="false" customHeight="false" outlineLevel="0" collapsed="false">
      <c r="A9" s="12" t="str">
        <f aca="false">Assumptions!A20</f>
        <v>Up 100</v>
      </c>
      <c r="B9" s="13" t="n">
        <f aca="false">Assumptions!B20</f>
        <v>100</v>
      </c>
      <c r="C9" s="14" t="n">
        <f aca="false">NII_Projection!G24</f>
        <v>51745.35375</v>
      </c>
      <c r="D9" s="14" t="n">
        <f aca="false">NII_Projection!G22</f>
        <v>1508.44375</v>
      </c>
      <c r="E9" s="15" t="n">
        <f aca="false">NII_Projection!G25</f>
        <v>0.0300266029499028</v>
      </c>
      <c r="F9" s="16" t="str">
        <f aca="false">IF(E9&lt;-Assumptions!$B$11,"BREACH","Within limit")</f>
        <v>Within limit</v>
      </c>
      <c r="G9" s="14" t="n">
        <f aca="false">EVE!I22</f>
        <v>-1368.7</v>
      </c>
      <c r="H9" s="15" t="n">
        <f aca="false">EVE!I24</f>
        <v>-0.0123729886096547</v>
      </c>
      <c r="I9" s="16" t="str">
        <f aca="false">IF(H9&lt;-Assumptions!$B$12,"BREACH","Within limit")</f>
        <v>Within limit</v>
      </c>
    </row>
    <row r="10" customFormat="false" ht="15" hidden="false" customHeight="false" outlineLevel="0" collapsed="false">
      <c r="A10" s="12" t="str">
        <f aca="false">Assumptions!A21</f>
        <v>Up 200</v>
      </c>
      <c r="B10" s="13" t="n">
        <f aca="false">Assumptions!B21</f>
        <v>200</v>
      </c>
      <c r="C10" s="14" t="n">
        <f aca="false">NII_Projection!H24</f>
        <v>53253.7975</v>
      </c>
      <c r="D10" s="14" t="n">
        <f aca="false">NII_Projection!H22</f>
        <v>3016.8875</v>
      </c>
      <c r="E10" s="15" t="n">
        <f aca="false">NII_Projection!H25</f>
        <v>0.0600532058998056</v>
      </c>
      <c r="F10" s="16" t="str">
        <f aca="false">IF(E10&lt;-Assumptions!$B$11,"BREACH","Within limit")</f>
        <v>Within limit</v>
      </c>
      <c r="G10" s="14" t="n">
        <f aca="false">EVE!J22</f>
        <v>-2737.4</v>
      </c>
      <c r="H10" s="15" t="n">
        <f aca="false">EVE!J24</f>
        <v>-0.0247459772193093</v>
      </c>
      <c r="I10" s="16" t="str">
        <f aca="false">IF(H10&lt;-Assumptions!$B$12,"BREACH","Within limit")</f>
        <v>Within limit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79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80</v>
      </c>
      <c r="B5" s="11" t="s">
        <v>81</v>
      </c>
      <c r="C5" s="11" t="s">
        <v>82</v>
      </c>
    </row>
    <row r="6" customFormat="false" ht="15" hidden="false" customHeight="false" outlineLevel="0" collapsed="false">
      <c r="A6" s="17" t="s">
        <v>25</v>
      </c>
      <c r="B6" s="18" t="s">
        <v>83</v>
      </c>
      <c r="C6" s="19" t="s">
        <v>84</v>
      </c>
    </row>
    <row r="7" customFormat="false" ht="15" hidden="false" customHeight="false" outlineLevel="0" collapsed="false">
      <c r="A7" s="17" t="s">
        <v>85</v>
      </c>
      <c r="B7" s="20" t="n">
        <v>0.0375</v>
      </c>
      <c r="C7" s="19" t="s">
        <v>86</v>
      </c>
    </row>
    <row r="8" customFormat="false" ht="15" hidden="false" customHeight="false" outlineLevel="0" collapsed="false">
      <c r="A8" s="17" t="s">
        <v>87</v>
      </c>
      <c r="B8" s="21" t="n">
        <v>12</v>
      </c>
      <c r="C8" s="19" t="s">
        <v>88</v>
      </c>
    </row>
    <row r="9" customFormat="false" ht="15" hidden="false" customHeight="false" outlineLevel="0" collapsed="false">
      <c r="A9" s="17" t="s">
        <v>89</v>
      </c>
      <c r="B9" s="22" t="n">
        <v>1.5</v>
      </c>
      <c r="C9" s="19" t="s">
        <v>90</v>
      </c>
    </row>
    <row r="10" customFormat="false" ht="15" hidden="false" customHeight="false" outlineLevel="0" collapsed="false">
      <c r="A10" s="17" t="s">
        <v>91</v>
      </c>
      <c r="B10" s="22" t="n">
        <v>7.5</v>
      </c>
      <c r="C10" s="19" t="s">
        <v>90</v>
      </c>
    </row>
    <row r="11" customFormat="false" ht="15" hidden="false" customHeight="false" outlineLevel="0" collapsed="false">
      <c r="A11" s="17" t="s">
        <v>92</v>
      </c>
      <c r="B11" s="23" t="n">
        <v>0.07</v>
      </c>
      <c r="C11" s="19" t="s">
        <v>93</v>
      </c>
    </row>
    <row r="12" customFormat="false" ht="15" hidden="false" customHeight="false" outlineLevel="0" collapsed="false">
      <c r="A12" s="17" t="s">
        <v>94</v>
      </c>
      <c r="B12" s="23" t="n">
        <v>0.15</v>
      </c>
      <c r="C12" s="19" t="s">
        <v>93</v>
      </c>
    </row>
    <row r="13" customFormat="false" ht="15" hidden="false" customHeight="false" outlineLevel="0" collapsed="false">
      <c r="A13" s="17" t="s">
        <v>95</v>
      </c>
      <c r="B13" s="24" t="n">
        <v>110620</v>
      </c>
      <c r="C13" s="19" t="s">
        <v>96</v>
      </c>
    </row>
    <row r="16" customFormat="false" ht="30" hidden="false" customHeight="true" outlineLevel="0" collapsed="false">
      <c r="A16" s="11" t="s">
        <v>70</v>
      </c>
      <c r="B16" s="11" t="s">
        <v>71</v>
      </c>
    </row>
    <row r="17" customFormat="false" ht="15" hidden="false" customHeight="false" outlineLevel="0" collapsed="false">
      <c r="A17" s="17" t="s">
        <v>97</v>
      </c>
      <c r="B17" s="25" t="n">
        <v>-200</v>
      </c>
    </row>
    <row r="18" customFormat="false" ht="15" hidden="false" customHeight="false" outlineLevel="0" collapsed="false">
      <c r="A18" s="17" t="s">
        <v>98</v>
      </c>
      <c r="B18" s="25" t="n">
        <v>-100</v>
      </c>
    </row>
    <row r="19" customFormat="false" ht="15" hidden="false" customHeight="false" outlineLevel="0" collapsed="false">
      <c r="A19" s="17" t="s">
        <v>99</v>
      </c>
      <c r="B19" s="25" t="n">
        <v>0</v>
      </c>
    </row>
    <row r="20" customFormat="false" ht="15" hidden="false" customHeight="false" outlineLevel="0" collapsed="false">
      <c r="A20" s="17" t="s">
        <v>100</v>
      </c>
      <c r="B20" s="25" t="n">
        <v>100</v>
      </c>
    </row>
    <row r="21" customFormat="false" ht="15" hidden="false" customHeight="false" outlineLevel="0" collapsed="false">
      <c r="A21" s="17" t="s">
        <v>101</v>
      </c>
      <c r="B21" s="25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8" min="4" style="0" width="11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104</v>
      </c>
      <c r="B5" s="11" t="s">
        <v>105</v>
      </c>
      <c r="C5" s="11" t="s">
        <v>106</v>
      </c>
      <c r="D5" s="11" t="s">
        <v>107</v>
      </c>
      <c r="E5" s="11" t="s">
        <v>108</v>
      </c>
      <c r="F5" s="11" t="s">
        <v>109</v>
      </c>
      <c r="G5" s="11" t="s">
        <v>110</v>
      </c>
      <c r="H5" s="11" t="s">
        <v>111</v>
      </c>
      <c r="I5" s="11" t="s">
        <v>112</v>
      </c>
      <c r="J5" s="11" t="s">
        <v>113</v>
      </c>
      <c r="K5" s="11" t="s">
        <v>114</v>
      </c>
      <c r="L5" s="11" t="s">
        <v>115</v>
      </c>
      <c r="M5" s="11" t="s">
        <v>116</v>
      </c>
    </row>
    <row r="6" customFormat="false" ht="15" hidden="false" customHeight="false" outlineLevel="0" collapsed="false">
      <c r="A6" s="17" t="s">
        <v>117</v>
      </c>
      <c r="B6" s="18" t="s">
        <v>118</v>
      </c>
      <c r="C6" s="24" t="n">
        <v>246900</v>
      </c>
      <c r="D6" s="26" t="n">
        <v>0.0372</v>
      </c>
      <c r="E6" s="27" t="n">
        <v>1</v>
      </c>
      <c r="F6" s="27" t="n">
        <v>0</v>
      </c>
      <c r="G6" s="27" t="n">
        <v>0</v>
      </c>
      <c r="H6" s="27" t="n">
        <v>0</v>
      </c>
      <c r="I6" s="16" t="str">
        <f aca="false">IF(ABS(SUM(E6:H6)-1)&lt;0.0001,"OK","CHECK")</f>
        <v>OK</v>
      </c>
      <c r="J6" s="28" t="n">
        <f aca="false">C6*D6</f>
        <v>9184.68</v>
      </c>
      <c r="K6" s="22" t="n">
        <v>0.1</v>
      </c>
      <c r="L6" s="29" t="n">
        <v>1</v>
      </c>
      <c r="M6" s="18" t="s">
        <v>119</v>
      </c>
    </row>
    <row r="7" customFormat="false" ht="15" hidden="false" customHeight="false" outlineLevel="0" collapsed="false">
      <c r="A7" s="17" t="s">
        <v>120</v>
      </c>
      <c r="B7" s="18" t="s">
        <v>118</v>
      </c>
      <c r="C7" s="24" t="n">
        <v>170900</v>
      </c>
      <c r="D7" s="26" t="n">
        <v>0.0386</v>
      </c>
      <c r="E7" s="27" t="n">
        <v>0.12</v>
      </c>
      <c r="F7" s="27" t="n">
        <v>0.1</v>
      </c>
      <c r="G7" s="27" t="n">
        <v>0.38</v>
      </c>
      <c r="H7" s="27" t="n">
        <v>0.4</v>
      </c>
      <c r="I7" s="16" t="str">
        <f aca="false">IF(ABS(SUM(E7:H7)-1)&lt;0.0001,"OK","CHECK")</f>
        <v>OK</v>
      </c>
      <c r="J7" s="28" t="n">
        <f aca="false">C7*D7</f>
        <v>6596.74</v>
      </c>
      <c r="K7" s="22" t="n">
        <v>4.6</v>
      </c>
      <c r="L7" s="29" t="n">
        <v>1</v>
      </c>
      <c r="M7" s="18" t="s">
        <v>119</v>
      </c>
    </row>
    <row r="8" customFormat="false" ht="15" hidden="false" customHeight="false" outlineLevel="0" collapsed="false">
      <c r="A8" s="17" t="s">
        <v>121</v>
      </c>
      <c r="B8" s="18" t="s">
        <v>118</v>
      </c>
      <c r="C8" s="24" t="n">
        <v>98400</v>
      </c>
      <c r="D8" s="26" t="n">
        <v>0.041</v>
      </c>
      <c r="E8" s="27" t="n">
        <v>0.35</v>
      </c>
      <c r="F8" s="27" t="n">
        <v>0.25</v>
      </c>
      <c r="G8" s="27" t="n">
        <v>0.25</v>
      </c>
      <c r="H8" s="27" t="n">
        <v>0.15</v>
      </c>
      <c r="I8" s="16" t="str">
        <f aca="false">IF(ABS(SUM(E8:H8)-1)&lt;0.0001,"OK","CHECK")</f>
        <v>OK</v>
      </c>
      <c r="J8" s="28" t="n">
        <f aca="false">C8*D8</f>
        <v>4034.4</v>
      </c>
      <c r="K8" s="22" t="n">
        <v>2.1</v>
      </c>
      <c r="L8" s="29" t="n">
        <v>1</v>
      </c>
      <c r="M8" s="18" t="s">
        <v>119</v>
      </c>
    </row>
    <row r="9" customFormat="false" ht="15" hidden="false" customHeight="false" outlineLevel="0" collapsed="false">
      <c r="A9" s="17" t="s">
        <v>122</v>
      </c>
      <c r="B9" s="18" t="s">
        <v>118</v>
      </c>
      <c r="C9" s="24" t="n">
        <v>138400</v>
      </c>
      <c r="D9" s="26" t="n">
        <v>0.165</v>
      </c>
      <c r="E9" s="27" t="n">
        <v>0.62</v>
      </c>
      <c r="F9" s="27" t="n">
        <v>0.08</v>
      </c>
      <c r="G9" s="27" t="n">
        <v>0.3</v>
      </c>
      <c r="H9" s="27" t="n">
        <v>0</v>
      </c>
      <c r="I9" s="16" t="str">
        <f aca="false">IF(ABS(SUM(E9:H9)-1)&lt;0.0001,"OK","CHECK")</f>
        <v>OK</v>
      </c>
      <c r="J9" s="28" t="n">
        <f aca="false">C9*D9</f>
        <v>22836</v>
      </c>
      <c r="K9" s="22" t="n">
        <v>0.9</v>
      </c>
      <c r="L9" s="29" t="n">
        <v>1</v>
      </c>
      <c r="M9" s="18" t="s">
        <v>123</v>
      </c>
    </row>
    <row r="10" customFormat="false" ht="15" hidden="false" customHeight="false" outlineLevel="0" collapsed="false">
      <c r="A10" s="17" t="s">
        <v>124</v>
      </c>
      <c r="B10" s="18" t="s">
        <v>118</v>
      </c>
      <c r="C10" s="24" t="n">
        <v>218600</v>
      </c>
      <c r="D10" s="26" t="n">
        <v>0.0428</v>
      </c>
      <c r="E10" s="27" t="n">
        <v>0.05</v>
      </c>
      <c r="F10" s="27" t="n">
        <v>0.07</v>
      </c>
      <c r="G10" s="27" t="n">
        <v>0.28</v>
      </c>
      <c r="H10" s="27" t="n">
        <v>0.6</v>
      </c>
      <c r="I10" s="16" t="str">
        <f aca="false">IF(ABS(SUM(E10:H10)-1)&lt;0.0001,"OK","CHECK")</f>
        <v>OK</v>
      </c>
      <c r="J10" s="28" t="n">
        <f aca="false">C10*D10</f>
        <v>9356.08</v>
      </c>
      <c r="K10" s="22" t="n">
        <v>5.8</v>
      </c>
      <c r="L10" s="29" t="n">
        <v>1</v>
      </c>
      <c r="M10" s="18" t="s">
        <v>123</v>
      </c>
    </row>
    <row r="11" customFormat="false" ht="15" hidden="false" customHeight="false" outlineLevel="0" collapsed="false">
      <c r="A11" s="17" t="s">
        <v>125</v>
      </c>
      <c r="B11" s="18" t="s">
        <v>118</v>
      </c>
      <c r="C11" s="24" t="n">
        <v>64900</v>
      </c>
      <c r="D11" s="26" t="n">
        <v>0.0655</v>
      </c>
      <c r="E11" s="27" t="n">
        <v>0.06</v>
      </c>
      <c r="F11" s="27" t="n">
        <v>0.24</v>
      </c>
      <c r="G11" s="27" t="n">
        <v>0.7</v>
      </c>
      <c r="H11" s="27" t="n">
        <v>0</v>
      </c>
      <c r="I11" s="16" t="str">
        <f aca="false">IF(ABS(SUM(E11:H11)-1)&lt;0.0001,"OK","CHECK")</f>
        <v>OK</v>
      </c>
      <c r="J11" s="28" t="n">
        <f aca="false">C11*D11</f>
        <v>4250.95</v>
      </c>
      <c r="K11" s="22" t="n">
        <v>1.7</v>
      </c>
      <c r="L11" s="29" t="n">
        <v>1</v>
      </c>
      <c r="M11" s="18" t="s">
        <v>123</v>
      </c>
    </row>
    <row r="12" customFormat="false" ht="15" hidden="false" customHeight="false" outlineLevel="0" collapsed="false">
      <c r="A12" s="17" t="s">
        <v>126</v>
      </c>
      <c r="B12" s="18" t="s">
        <v>118</v>
      </c>
      <c r="C12" s="24" t="n">
        <v>98200</v>
      </c>
      <c r="D12" s="26" t="n">
        <v>0.064</v>
      </c>
      <c r="E12" s="27" t="n">
        <v>0.55</v>
      </c>
      <c r="F12" s="27" t="n">
        <v>0.1</v>
      </c>
      <c r="G12" s="27" t="n">
        <v>0.3</v>
      </c>
      <c r="H12" s="27" t="n">
        <v>0.05</v>
      </c>
      <c r="I12" s="16" t="str">
        <f aca="false">IF(ABS(SUM(E12:H12)-1)&lt;0.0001,"OK","CHECK")</f>
        <v>OK</v>
      </c>
      <c r="J12" s="28" t="n">
        <f aca="false">C12*D12</f>
        <v>6284.8</v>
      </c>
      <c r="K12" s="22" t="n">
        <v>1.6</v>
      </c>
      <c r="L12" s="29" t="n">
        <v>1</v>
      </c>
      <c r="M12" s="18" t="s">
        <v>123</v>
      </c>
    </row>
    <row r="13" customFormat="false" ht="15" hidden="false" customHeight="false" outlineLevel="0" collapsed="false">
      <c r="A13" s="17" t="s">
        <v>127</v>
      </c>
      <c r="B13" s="18" t="s">
        <v>118</v>
      </c>
      <c r="C13" s="24" t="n">
        <v>172500</v>
      </c>
      <c r="D13" s="26" t="n">
        <v>0.064</v>
      </c>
      <c r="E13" s="27" t="n">
        <v>0.78</v>
      </c>
      <c r="F13" s="27" t="n">
        <v>0.08</v>
      </c>
      <c r="G13" s="27" t="n">
        <v>0.12</v>
      </c>
      <c r="H13" s="27" t="n">
        <v>0.02</v>
      </c>
      <c r="I13" s="16" t="str">
        <f aca="false">IF(ABS(SUM(E13:H13)-1)&lt;0.0001,"OK","CHECK")</f>
        <v>OK</v>
      </c>
      <c r="J13" s="28" t="n">
        <f aca="false">C13*D13</f>
        <v>11040</v>
      </c>
      <c r="K13" s="22" t="n">
        <v>0.6</v>
      </c>
      <c r="L13" s="29" t="n">
        <v>1</v>
      </c>
      <c r="M13" s="18" t="s">
        <v>123</v>
      </c>
    </row>
    <row r="14" customFormat="false" ht="15" hidden="false" customHeight="false" outlineLevel="0" collapsed="false">
      <c r="A14" s="17" t="s">
        <v>128</v>
      </c>
      <c r="B14" s="18" t="s">
        <v>118</v>
      </c>
      <c r="C14" s="24" t="n">
        <v>49700</v>
      </c>
      <c r="D14" s="26" t="n">
        <v>0.059</v>
      </c>
      <c r="E14" s="27" t="n">
        <v>0.5</v>
      </c>
      <c r="F14" s="27" t="n">
        <v>0.15</v>
      </c>
      <c r="G14" s="27" t="n">
        <v>0.3</v>
      </c>
      <c r="H14" s="27" t="n">
        <v>0.05</v>
      </c>
      <c r="I14" s="16" t="str">
        <f aca="false">IF(ABS(SUM(E14:H14)-1)&lt;0.0001,"OK","CHECK")</f>
        <v>OK</v>
      </c>
      <c r="J14" s="28" t="n">
        <f aca="false">C14*D14</f>
        <v>2932.3</v>
      </c>
      <c r="K14" s="22" t="n">
        <v>1.4</v>
      </c>
      <c r="L14" s="29" t="n">
        <v>1</v>
      </c>
      <c r="M14" s="18" t="s">
        <v>123</v>
      </c>
    </row>
    <row r="15" customFormat="false" ht="15" hidden="false" customHeight="false" outlineLevel="0" collapsed="false">
      <c r="A15" s="17" t="s">
        <v>129</v>
      </c>
      <c r="B15" s="18" t="s">
        <v>130</v>
      </c>
      <c r="C15" s="24" t="n">
        <v>402000</v>
      </c>
      <c r="D15" s="26" t="n">
        <v>0.0205</v>
      </c>
      <c r="E15" s="27" t="n">
        <v>0.7</v>
      </c>
      <c r="F15" s="27" t="n">
        <v>0.3</v>
      </c>
      <c r="G15" s="27" t="n">
        <v>0</v>
      </c>
      <c r="H15" s="27" t="n">
        <v>0</v>
      </c>
      <c r="I15" s="16" t="str">
        <f aca="false">IF(ABS(SUM(E15:H15)-1)&lt;0.0001,"OK","CHECK")</f>
        <v>OK</v>
      </c>
      <c r="J15" s="28" t="n">
        <f aca="false">C15*D15</f>
        <v>8241</v>
      </c>
      <c r="K15" s="22" t="n">
        <v>2.8</v>
      </c>
      <c r="L15" s="30" t="n">
        <v>0.45</v>
      </c>
      <c r="M15" s="18" t="s">
        <v>119</v>
      </c>
    </row>
    <row r="16" customFormat="false" ht="15" hidden="false" customHeight="false" outlineLevel="0" collapsed="false">
      <c r="A16" s="17" t="s">
        <v>131</v>
      </c>
      <c r="B16" s="18" t="s">
        <v>130</v>
      </c>
      <c r="C16" s="24" t="n">
        <v>338400</v>
      </c>
      <c r="D16" s="26" t="n">
        <v>0.0315</v>
      </c>
      <c r="E16" s="27" t="n">
        <v>0.85</v>
      </c>
      <c r="F16" s="27" t="n">
        <v>0.15</v>
      </c>
      <c r="G16" s="27" t="n">
        <v>0</v>
      </c>
      <c r="H16" s="27" t="n">
        <v>0</v>
      </c>
      <c r="I16" s="16" t="str">
        <f aca="false">IF(ABS(SUM(E16:H16)-1)&lt;0.0001,"OK","CHECK")</f>
        <v>OK</v>
      </c>
      <c r="J16" s="28" t="n">
        <f aca="false">C16*D16</f>
        <v>10659.6</v>
      </c>
      <c r="K16" s="22" t="n">
        <v>0.6</v>
      </c>
      <c r="L16" s="30" t="n">
        <v>0.75</v>
      </c>
      <c r="M16" s="18" t="s">
        <v>119</v>
      </c>
    </row>
    <row r="17" customFormat="false" ht="15" hidden="false" customHeight="false" outlineLevel="0" collapsed="false">
      <c r="A17" s="17" t="s">
        <v>132</v>
      </c>
      <c r="B17" s="18" t="s">
        <v>130</v>
      </c>
      <c r="C17" s="24" t="n">
        <v>272000</v>
      </c>
      <c r="D17" s="26" t="n">
        <v>0</v>
      </c>
      <c r="E17" s="27" t="n">
        <v>0</v>
      </c>
      <c r="F17" s="27" t="n">
        <v>0</v>
      </c>
      <c r="G17" s="27" t="n">
        <v>0.4</v>
      </c>
      <c r="H17" s="27" t="n">
        <v>0.6</v>
      </c>
      <c r="I17" s="16" t="str">
        <f aca="false">IF(ABS(SUM(E17:H17)-1)&lt;0.0001,"OK","CHECK")</f>
        <v>OK</v>
      </c>
      <c r="J17" s="28" t="n">
        <f aca="false">C17*D17</f>
        <v>0</v>
      </c>
      <c r="K17" s="22" t="n">
        <v>3.5</v>
      </c>
      <c r="L17" s="30" t="n">
        <v>0</v>
      </c>
      <c r="M17" s="18" t="s">
        <v>119</v>
      </c>
    </row>
    <row r="18" customFormat="false" ht="15" hidden="false" customHeight="false" outlineLevel="0" collapsed="false">
      <c r="A18" s="17" t="s">
        <v>133</v>
      </c>
      <c r="B18" s="18" t="s">
        <v>130</v>
      </c>
      <c r="C18" s="24" t="n">
        <v>81000</v>
      </c>
      <c r="D18" s="26" t="n">
        <v>0.0395</v>
      </c>
      <c r="E18" s="27" t="n">
        <v>1</v>
      </c>
      <c r="F18" s="27" t="n">
        <v>0</v>
      </c>
      <c r="G18" s="27" t="n">
        <v>0</v>
      </c>
      <c r="H18" s="27" t="n">
        <v>0</v>
      </c>
      <c r="I18" s="16" t="str">
        <f aca="false">IF(ABS(SUM(E18:H18)-1)&lt;0.0001,"OK","CHECK")</f>
        <v>OK</v>
      </c>
      <c r="J18" s="28" t="n">
        <f aca="false">C18*D18</f>
        <v>3199.5</v>
      </c>
      <c r="K18" s="22" t="n">
        <v>0.1</v>
      </c>
      <c r="L18" s="30" t="n">
        <v>1</v>
      </c>
      <c r="M18" s="18" t="s">
        <v>119</v>
      </c>
    </row>
    <row r="19" customFormat="false" ht="15" hidden="false" customHeight="false" outlineLevel="0" collapsed="false">
      <c r="A19" s="17" t="s">
        <v>134</v>
      </c>
      <c r="B19" s="18" t="s">
        <v>130</v>
      </c>
      <c r="C19" s="24" t="n">
        <v>86700</v>
      </c>
      <c r="D19" s="26" t="n">
        <v>0.0482</v>
      </c>
      <c r="E19" s="27" t="n">
        <v>0.3</v>
      </c>
      <c r="F19" s="27" t="n">
        <v>0.1</v>
      </c>
      <c r="G19" s="27" t="n">
        <v>0.35</v>
      </c>
      <c r="H19" s="27" t="n">
        <v>0.25</v>
      </c>
      <c r="I19" s="16" t="str">
        <f aca="false">IF(ABS(SUM(E19:H19)-1)&lt;0.0001,"OK","CHECK")</f>
        <v>OK</v>
      </c>
      <c r="J19" s="28" t="n">
        <f aca="false">C19*D19</f>
        <v>4178.94</v>
      </c>
      <c r="K19" s="22" t="n">
        <v>4.9</v>
      </c>
      <c r="L19" s="30" t="n">
        <v>1</v>
      </c>
      <c r="M19" s="18" t="s">
        <v>119</v>
      </c>
    </row>
    <row r="21" customFormat="false" ht="15" hidden="false" customHeight="false" outlineLevel="0" collapsed="false">
      <c r="A21" s="17" t="s">
        <v>135</v>
      </c>
      <c r="C21" s="31" t="n">
        <f aca="false">SUMIFS(C6:C19,B6:B19,"Asset")</f>
        <v>1258500</v>
      </c>
      <c r="J21" s="31" t="n">
        <f aca="false">SUMIFS(J6:J19,B6:B19,"Asset")</f>
        <v>76515.95</v>
      </c>
    </row>
    <row r="22" customFormat="false" ht="15" hidden="false" customHeight="false" outlineLevel="0" collapsed="false">
      <c r="A22" s="17" t="s">
        <v>136</v>
      </c>
      <c r="C22" s="31" t="n">
        <f aca="false">SUMIFS(C6:C19,B6:B19,"Liability")</f>
        <v>1180100</v>
      </c>
      <c r="J22" s="31" t="n">
        <f aca="false">SUMIFS(J6:J19,B6:B19,"Liability")</f>
        <v>26279.04</v>
      </c>
    </row>
    <row r="23" customFormat="false" ht="15" hidden="false" customHeight="false" outlineLevel="0" collapsed="false">
      <c r="A23" s="17" t="s">
        <v>137</v>
      </c>
      <c r="J23" s="31" t="n">
        <f aca="false">J21-J22</f>
        <v>50236.91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8" min="4" style="0" width="13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104</v>
      </c>
      <c r="B5" s="11" t="s">
        <v>105</v>
      </c>
      <c r="C5" s="11" t="s">
        <v>140</v>
      </c>
      <c r="D5" s="11" t="s">
        <v>97</v>
      </c>
      <c r="E5" s="11" t="s">
        <v>98</v>
      </c>
      <c r="F5" s="11" t="s">
        <v>99</v>
      </c>
      <c r="G5" s="11" t="s">
        <v>100</v>
      </c>
      <c r="H5" s="11" t="s">
        <v>101</v>
      </c>
    </row>
    <row r="6" customFormat="false" ht="15" hidden="false" customHeight="false" outlineLevel="0" collapsed="false">
      <c r="A6" s="17" t="s">
        <v>71</v>
      </c>
      <c r="D6" s="13" t="n">
        <f aca="false">Assumptions!B17</f>
        <v>-200</v>
      </c>
      <c r="E6" s="13" t="n">
        <f aca="false">Assumptions!B18</f>
        <v>-100</v>
      </c>
      <c r="F6" s="13" t="n">
        <f aca="false">Assumptions!B19</f>
        <v>0</v>
      </c>
      <c r="G6" s="13" t="n">
        <f aca="false">Assumptions!B20</f>
        <v>100</v>
      </c>
      <c r="H6" s="13" t="n">
        <f aca="false">Assumptions!B21</f>
        <v>200</v>
      </c>
    </row>
    <row r="7" customFormat="false" ht="15" hidden="false" customHeight="false" outlineLevel="0" collapsed="false">
      <c r="A7" s="12" t="str">
        <f aca="false">Balance_Sheet!A6</f>
        <v>Deposits with banks &amp; fed funds sold</v>
      </c>
      <c r="B7" s="12" t="str">
        <f aca="false">Balance_Sheet!B6</f>
        <v>Asset</v>
      </c>
      <c r="C7" s="32" t="n">
        <f aca="false">Balance_Sheet!E6*(Assumptions!$B$8-Assumptions!$B$9)/Assumptions!$B$8+Balance_Sheet!F6*(Assumptions!$B$8-Assumptions!$B$10)/Assumptions!$B$8</f>
        <v>0.875</v>
      </c>
      <c r="D7" s="28" t="n">
        <f aca="false">IF(B7="Asset",1,-1)*Balance_Sheet!C6*Balance_Sheet!L6*$C7*D$6/10000</f>
        <v>-4320.75</v>
      </c>
      <c r="E7" s="28" t="n">
        <f aca="false">IF(B7="Asset",1,-1)*Balance_Sheet!C6*Balance_Sheet!L6*$C7*E$6/10000</f>
        <v>-2160.375</v>
      </c>
      <c r="F7" s="28" t="n">
        <f aca="false">IF(B7="Asset",1,-1)*Balance_Sheet!C6*Balance_Sheet!L6*$C7*F$6/10000</f>
        <v>0</v>
      </c>
      <c r="G7" s="28" t="n">
        <f aca="false">IF(B7="Asset",1,-1)*Balance_Sheet!C6*Balance_Sheet!L6*$C7*G$6/10000</f>
        <v>2160.375</v>
      </c>
      <c r="H7" s="28" t="n">
        <f aca="false">IF(B7="Asset",1,-1)*Balance_Sheet!C6*Balance_Sheet!L6*$C7*H$6/10000</f>
        <v>4320.75</v>
      </c>
    </row>
    <row r="8" customFormat="false" ht="15" hidden="false" customHeight="false" outlineLevel="0" collapsed="false">
      <c r="A8" s="12" t="str">
        <f aca="false">Balance_Sheet!A7</f>
        <v>Investment securities (AFS + HTM)</v>
      </c>
      <c r="B8" s="12" t="str">
        <f aca="false">Balance_Sheet!B7</f>
        <v>Asset</v>
      </c>
      <c r="C8" s="32" t="n">
        <f aca="false">Balance_Sheet!E7*(Assumptions!$B$8-Assumptions!$B$9)/Assumptions!$B$8+Balance_Sheet!F7*(Assumptions!$B$8-Assumptions!$B$10)/Assumptions!$B$8</f>
        <v>0.1425</v>
      </c>
      <c r="D8" s="28" t="n">
        <f aca="false">IF(B8="Asset",1,-1)*Balance_Sheet!C7*Balance_Sheet!L7*$C8*D$6/10000</f>
        <v>-487.065</v>
      </c>
      <c r="E8" s="28" t="n">
        <f aca="false">IF(B8="Asset",1,-1)*Balance_Sheet!C7*Balance_Sheet!L7*$C8*E$6/10000</f>
        <v>-243.5325</v>
      </c>
      <c r="F8" s="28" t="n">
        <f aca="false">IF(B8="Asset",1,-1)*Balance_Sheet!C7*Balance_Sheet!L7*$C8*F$6/10000</f>
        <v>0</v>
      </c>
      <c r="G8" s="28" t="n">
        <f aca="false">IF(B8="Asset",1,-1)*Balance_Sheet!C7*Balance_Sheet!L7*$C8*G$6/10000</f>
        <v>243.5325</v>
      </c>
      <c r="H8" s="28" t="n">
        <f aca="false">IF(B8="Asset",1,-1)*Balance_Sheet!C7*Balance_Sheet!L7*$C8*H$6/10000</f>
        <v>487.065</v>
      </c>
    </row>
    <row r="9" customFormat="false" ht="15" hidden="false" customHeight="false" outlineLevel="0" collapsed="false">
      <c r="A9" s="12" t="str">
        <f aca="false">Balance_Sheet!A8</f>
        <v>Trading assets (interest-earning)</v>
      </c>
      <c r="B9" s="12" t="str">
        <f aca="false">Balance_Sheet!B8</f>
        <v>Asset</v>
      </c>
      <c r="C9" s="32" t="n">
        <f aca="false">Balance_Sheet!E8*(Assumptions!$B$8-Assumptions!$B$9)/Assumptions!$B$8+Balance_Sheet!F8*(Assumptions!$B$8-Assumptions!$B$10)/Assumptions!$B$8</f>
        <v>0.4</v>
      </c>
      <c r="D9" s="28" t="n">
        <f aca="false">IF(B9="Asset",1,-1)*Balance_Sheet!C8*Balance_Sheet!L8*$C9*D$6/10000</f>
        <v>-787.2</v>
      </c>
      <c r="E9" s="28" t="n">
        <f aca="false">IF(B9="Asset",1,-1)*Balance_Sheet!C8*Balance_Sheet!L8*$C9*E$6/10000</f>
        <v>-393.6</v>
      </c>
      <c r="F9" s="28" t="n">
        <f aca="false">IF(B9="Asset",1,-1)*Balance_Sheet!C8*Balance_Sheet!L8*$C9*F$6/10000</f>
        <v>0</v>
      </c>
      <c r="G9" s="28" t="n">
        <f aca="false">IF(B9="Asset",1,-1)*Balance_Sheet!C8*Balance_Sheet!L8*$C9*G$6/10000</f>
        <v>393.6</v>
      </c>
      <c r="H9" s="28" t="n">
        <f aca="false">IF(B9="Asset",1,-1)*Balance_Sheet!C8*Balance_Sheet!L8*$C9*H$6/10000</f>
        <v>787.2</v>
      </c>
    </row>
    <row r="10" customFormat="false" ht="15" hidden="false" customHeight="false" outlineLevel="0" collapsed="false">
      <c r="A10" s="12" t="str">
        <f aca="false">Balance_Sheet!A9</f>
        <v>Credit card loans</v>
      </c>
      <c r="B10" s="12" t="str">
        <f aca="false">Balance_Sheet!B9</f>
        <v>Asset</v>
      </c>
      <c r="C10" s="32" t="n">
        <f aca="false">Balance_Sheet!E9*(Assumptions!$B$8-Assumptions!$B$9)/Assumptions!$B$8+Balance_Sheet!F9*(Assumptions!$B$8-Assumptions!$B$10)/Assumptions!$B$8</f>
        <v>0.5725</v>
      </c>
      <c r="D10" s="28" t="n">
        <f aca="false">IF(B10="Asset",1,-1)*Balance_Sheet!C9*Balance_Sheet!L9*$C10*D$6/10000</f>
        <v>-1584.68</v>
      </c>
      <c r="E10" s="28" t="n">
        <f aca="false">IF(B10="Asset",1,-1)*Balance_Sheet!C9*Balance_Sheet!L9*$C10*E$6/10000</f>
        <v>-792.34</v>
      </c>
      <c r="F10" s="28" t="n">
        <f aca="false">IF(B10="Asset",1,-1)*Balance_Sheet!C9*Balance_Sheet!L9*$C10*F$6/10000</f>
        <v>0</v>
      </c>
      <c r="G10" s="28" t="n">
        <f aca="false">IF(B10="Asset",1,-1)*Balance_Sheet!C9*Balance_Sheet!L9*$C10*G$6/10000</f>
        <v>792.34</v>
      </c>
      <c r="H10" s="28" t="n">
        <f aca="false">IF(B10="Asset",1,-1)*Balance_Sheet!C9*Balance_Sheet!L9*$C10*H$6/10000</f>
        <v>1584.68</v>
      </c>
    </row>
    <row r="11" customFormat="false" ht="15" hidden="false" customHeight="false" outlineLevel="0" collapsed="false">
      <c r="A11" s="12" t="str">
        <f aca="false">Balance_Sheet!A10</f>
        <v>Residential mortgage loans</v>
      </c>
      <c r="B11" s="12" t="str">
        <f aca="false">Balance_Sheet!B10</f>
        <v>Asset</v>
      </c>
      <c r="C11" s="32" t="n">
        <f aca="false">Balance_Sheet!E10*(Assumptions!$B$8-Assumptions!$B$9)/Assumptions!$B$8+Balance_Sheet!F10*(Assumptions!$B$8-Assumptions!$B$10)/Assumptions!$B$8</f>
        <v>0.07</v>
      </c>
      <c r="D11" s="28" t="n">
        <f aca="false">IF(B11="Asset",1,-1)*Balance_Sheet!C10*Balance_Sheet!L10*$C11*D$6/10000</f>
        <v>-306.04</v>
      </c>
      <c r="E11" s="28" t="n">
        <f aca="false">IF(B11="Asset",1,-1)*Balance_Sheet!C10*Balance_Sheet!L10*$C11*E$6/10000</f>
        <v>-153.02</v>
      </c>
      <c r="F11" s="28" t="n">
        <f aca="false">IF(B11="Asset",1,-1)*Balance_Sheet!C10*Balance_Sheet!L10*$C11*F$6/10000</f>
        <v>0</v>
      </c>
      <c r="G11" s="28" t="n">
        <f aca="false">IF(B11="Asset",1,-1)*Balance_Sheet!C10*Balance_Sheet!L10*$C11*G$6/10000</f>
        <v>153.02</v>
      </c>
      <c r="H11" s="28" t="n">
        <f aca="false">IF(B11="Asset",1,-1)*Balance_Sheet!C10*Balance_Sheet!L10*$C11*H$6/10000</f>
        <v>306.04</v>
      </c>
    </row>
    <row r="12" customFormat="false" ht="15" hidden="false" customHeight="false" outlineLevel="0" collapsed="false">
      <c r="A12" s="12" t="str">
        <f aca="false">Balance_Sheet!A11</f>
        <v>Auto loans</v>
      </c>
      <c r="B12" s="12" t="str">
        <f aca="false">Balance_Sheet!B11</f>
        <v>Asset</v>
      </c>
      <c r="C12" s="32" t="n">
        <f aca="false">Balance_Sheet!E11*(Assumptions!$B$8-Assumptions!$B$9)/Assumptions!$B$8+Balance_Sheet!F11*(Assumptions!$B$8-Assumptions!$B$10)/Assumptions!$B$8</f>
        <v>0.1425</v>
      </c>
      <c r="D12" s="28" t="n">
        <f aca="false">IF(B12="Asset",1,-1)*Balance_Sheet!C11*Balance_Sheet!L11*$C12*D$6/10000</f>
        <v>-184.965</v>
      </c>
      <c r="E12" s="28" t="n">
        <f aca="false">IF(B12="Asset",1,-1)*Balance_Sheet!C11*Balance_Sheet!L11*$C12*E$6/10000</f>
        <v>-92.4825</v>
      </c>
      <c r="F12" s="28" t="n">
        <f aca="false">IF(B12="Asset",1,-1)*Balance_Sheet!C11*Balance_Sheet!L11*$C12*F$6/10000</f>
        <v>0</v>
      </c>
      <c r="G12" s="28" t="n">
        <f aca="false">IF(B12="Asset",1,-1)*Balance_Sheet!C11*Balance_Sheet!L11*$C12*G$6/10000</f>
        <v>92.4825</v>
      </c>
      <c r="H12" s="28" t="n">
        <f aca="false">IF(B12="Asset",1,-1)*Balance_Sheet!C11*Balance_Sheet!L11*$C12*H$6/10000</f>
        <v>184.965</v>
      </c>
    </row>
    <row r="13" customFormat="false" ht="15" hidden="false" customHeight="false" outlineLevel="0" collapsed="false">
      <c r="A13" s="12" t="str">
        <f aca="false">Balance_Sheet!A12</f>
        <v>Commercial real estate loans</v>
      </c>
      <c r="B13" s="12" t="str">
        <f aca="false">Balance_Sheet!B12</f>
        <v>Asset</v>
      </c>
      <c r="C13" s="32" t="n">
        <f aca="false">Balance_Sheet!E12*(Assumptions!$B$8-Assumptions!$B$9)/Assumptions!$B$8+Balance_Sheet!F12*(Assumptions!$B$8-Assumptions!$B$10)/Assumptions!$B$8</f>
        <v>0.51875</v>
      </c>
      <c r="D13" s="28" t="n">
        <f aca="false">IF(B13="Asset",1,-1)*Balance_Sheet!C12*Balance_Sheet!L12*$C13*D$6/10000</f>
        <v>-1018.825</v>
      </c>
      <c r="E13" s="28" t="n">
        <f aca="false">IF(B13="Asset",1,-1)*Balance_Sheet!C12*Balance_Sheet!L12*$C13*E$6/10000</f>
        <v>-509.4125</v>
      </c>
      <c r="F13" s="28" t="n">
        <f aca="false">IF(B13="Asset",1,-1)*Balance_Sheet!C12*Balance_Sheet!L12*$C13*F$6/10000</f>
        <v>0</v>
      </c>
      <c r="G13" s="28" t="n">
        <f aca="false">IF(B13="Asset",1,-1)*Balance_Sheet!C12*Balance_Sheet!L12*$C13*G$6/10000</f>
        <v>509.4125</v>
      </c>
      <c r="H13" s="28" t="n">
        <f aca="false">IF(B13="Asset",1,-1)*Balance_Sheet!C12*Balance_Sheet!L12*$C13*H$6/10000</f>
        <v>1018.825</v>
      </c>
    </row>
    <row r="14" customFormat="false" ht="15" hidden="false" customHeight="false" outlineLevel="0" collapsed="false">
      <c r="A14" s="12" t="str">
        <f aca="false">Balance_Sheet!A13</f>
        <v>Commercial &amp; industrial loans</v>
      </c>
      <c r="B14" s="12" t="str">
        <f aca="false">Balance_Sheet!B13</f>
        <v>Asset</v>
      </c>
      <c r="C14" s="32" t="n">
        <f aca="false">Balance_Sheet!E13*(Assumptions!$B$8-Assumptions!$B$9)/Assumptions!$B$8+Balance_Sheet!F13*(Assumptions!$B$8-Assumptions!$B$10)/Assumptions!$B$8</f>
        <v>0.7125</v>
      </c>
      <c r="D14" s="28" t="n">
        <f aca="false">IF(B14="Asset",1,-1)*Balance_Sheet!C13*Balance_Sheet!L13*$C14*D$6/10000</f>
        <v>-2458.125</v>
      </c>
      <c r="E14" s="28" t="n">
        <f aca="false">IF(B14="Asset",1,-1)*Balance_Sheet!C13*Balance_Sheet!L13*$C14*E$6/10000</f>
        <v>-1229.0625</v>
      </c>
      <c r="F14" s="28" t="n">
        <f aca="false">IF(B14="Asset",1,-1)*Balance_Sheet!C13*Balance_Sheet!L13*$C14*F$6/10000</f>
        <v>0</v>
      </c>
      <c r="G14" s="28" t="n">
        <f aca="false">IF(B14="Asset",1,-1)*Balance_Sheet!C13*Balance_Sheet!L13*$C14*G$6/10000</f>
        <v>1229.0625</v>
      </c>
      <c r="H14" s="28" t="n">
        <f aca="false">IF(B14="Asset",1,-1)*Balance_Sheet!C13*Balance_Sheet!L13*$C14*H$6/10000</f>
        <v>2458.125</v>
      </c>
    </row>
    <row r="15" customFormat="false" ht="15" hidden="false" customHeight="false" outlineLevel="0" collapsed="false">
      <c r="A15" s="12" t="str">
        <f aca="false">Balance_Sheet!A14</f>
        <v>Other consumer &amp; wholesale loans</v>
      </c>
      <c r="B15" s="12" t="str">
        <f aca="false">Balance_Sheet!B14</f>
        <v>Asset</v>
      </c>
      <c r="C15" s="32" t="n">
        <f aca="false">Balance_Sheet!E14*(Assumptions!$B$8-Assumptions!$B$9)/Assumptions!$B$8+Balance_Sheet!F14*(Assumptions!$B$8-Assumptions!$B$10)/Assumptions!$B$8</f>
        <v>0.49375</v>
      </c>
      <c r="D15" s="28" t="n">
        <f aca="false">IF(B15="Asset",1,-1)*Balance_Sheet!C14*Balance_Sheet!L14*$C15*D$6/10000</f>
        <v>-490.7875</v>
      </c>
      <c r="E15" s="28" t="n">
        <f aca="false">IF(B15="Asset",1,-1)*Balance_Sheet!C14*Balance_Sheet!L14*$C15*E$6/10000</f>
        <v>-245.39375</v>
      </c>
      <c r="F15" s="28" t="n">
        <f aca="false">IF(B15="Asset",1,-1)*Balance_Sheet!C14*Balance_Sheet!L14*$C15*F$6/10000</f>
        <v>0</v>
      </c>
      <c r="G15" s="28" t="n">
        <f aca="false">IF(B15="Asset",1,-1)*Balance_Sheet!C14*Balance_Sheet!L14*$C15*G$6/10000</f>
        <v>245.39375</v>
      </c>
      <c r="H15" s="28" t="n">
        <f aca="false">IF(B15="Asset",1,-1)*Balance_Sheet!C14*Balance_Sheet!L14*$C15*H$6/10000</f>
        <v>490.7875</v>
      </c>
    </row>
    <row r="16" customFormat="false" ht="15" hidden="false" customHeight="false" outlineLevel="0" collapsed="false">
      <c r="A16" s="12" t="str">
        <f aca="false">Balance_Sheet!A15</f>
        <v>Consumer interest-bearing deposits</v>
      </c>
      <c r="B16" s="12" t="str">
        <f aca="false">Balance_Sheet!B15</f>
        <v>Liability</v>
      </c>
      <c r="C16" s="32" t="n">
        <f aca="false">Balance_Sheet!E15*(Assumptions!$B$8-Assumptions!$B$9)/Assumptions!$B$8+Balance_Sheet!F15*(Assumptions!$B$8-Assumptions!$B$10)/Assumptions!$B$8</f>
        <v>0.725</v>
      </c>
      <c r="D16" s="28" t="n">
        <f aca="false">IF(B16="Asset",1,-1)*Balance_Sheet!C15*Balance_Sheet!L15*$C16*D$6/10000</f>
        <v>2623.05</v>
      </c>
      <c r="E16" s="28" t="n">
        <f aca="false">IF(B16="Asset",1,-1)*Balance_Sheet!C15*Balance_Sheet!L15*$C16*E$6/10000</f>
        <v>1311.525</v>
      </c>
      <c r="F16" s="28" t="n">
        <f aca="false">IF(B16="Asset",1,-1)*Balance_Sheet!C15*Balance_Sheet!L15*$C16*F$6/10000</f>
        <v>-0</v>
      </c>
      <c r="G16" s="28" t="n">
        <f aca="false">IF(B16="Asset",1,-1)*Balance_Sheet!C15*Balance_Sheet!L15*$C16*G$6/10000</f>
        <v>-1311.525</v>
      </c>
      <c r="H16" s="28" t="n">
        <f aca="false">IF(B16="Asset",1,-1)*Balance_Sheet!C15*Balance_Sheet!L15*$C16*H$6/10000</f>
        <v>-2623.05</v>
      </c>
    </row>
    <row r="17" customFormat="false" ht="15" hidden="false" customHeight="false" outlineLevel="0" collapsed="false">
      <c r="A17" s="12" t="str">
        <f aca="false">Balance_Sheet!A16</f>
        <v>Wholesale interest-bearing deposits</v>
      </c>
      <c r="B17" s="12" t="str">
        <f aca="false">Balance_Sheet!B16</f>
        <v>Liability</v>
      </c>
      <c r="C17" s="32" t="n">
        <f aca="false">Balance_Sheet!E16*(Assumptions!$B$8-Assumptions!$B$9)/Assumptions!$B$8+Balance_Sheet!F16*(Assumptions!$B$8-Assumptions!$B$10)/Assumptions!$B$8</f>
        <v>0.8</v>
      </c>
      <c r="D17" s="28" t="n">
        <f aca="false">IF(B17="Asset",1,-1)*Balance_Sheet!C16*Balance_Sheet!L16*$C17*D$6/10000</f>
        <v>4060.8</v>
      </c>
      <c r="E17" s="28" t="n">
        <f aca="false">IF(B17="Asset",1,-1)*Balance_Sheet!C16*Balance_Sheet!L16*$C17*E$6/10000</f>
        <v>2030.4</v>
      </c>
      <c r="F17" s="28" t="n">
        <f aca="false">IF(B17="Asset",1,-1)*Balance_Sheet!C16*Balance_Sheet!L16*$C17*F$6/10000</f>
        <v>-0</v>
      </c>
      <c r="G17" s="28" t="n">
        <f aca="false">IF(B17="Asset",1,-1)*Balance_Sheet!C16*Balance_Sheet!L16*$C17*G$6/10000</f>
        <v>-2030.4</v>
      </c>
      <c r="H17" s="28" t="n">
        <f aca="false">IF(B17="Asset",1,-1)*Balance_Sheet!C16*Balance_Sheet!L16*$C17*H$6/10000</f>
        <v>-4060.8</v>
      </c>
    </row>
    <row r="18" customFormat="false" ht="15" hidden="false" customHeight="false" outlineLevel="0" collapsed="false">
      <c r="A18" s="12" t="str">
        <f aca="false">Balance_Sheet!A17</f>
        <v>Noninterest-bearing deposits</v>
      </c>
      <c r="B18" s="12" t="str">
        <f aca="false">Balance_Sheet!B17</f>
        <v>Liability</v>
      </c>
      <c r="C18" s="32" t="n">
        <f aca="false">Balance_Sheet!E17*(Assumptions!$B$8-Assumptions!$B$9)/Assumptions!$B$8+Balance_Sheet!F17*(Assumptions!$B$8-Assumptions!$B$10)/Assumptions!$B$8</f>
        <v>0</v>
      </c>
      <c r="D18" s="28" t="n">
        <f aca="false">IF(B18="Asset",1,-1)*Balance_Sheet!C17*Balance_Sheet!L17*$C18*D$6/10000</f>
        <v>0</v>
      </c>
      <c r="E18" s="28" t="n">
        <f aca="false">IF(B18="Asset",1,-1)*Balance_Sheet!C17*Balance_Sheet!L17*$C18*E$6/10000</f>
        <v>0</v>
      </c>
      <c r="F18" s="28" t="n">
        <f aca="false">IF(B18="Asset",1,-1)*Balance_Sheet!C17*Balance_Sheet!L17*$C18*F$6/10000</f>
        <v>-0</v>
      </c>
      <c r="G18" s="28" t="n">
        <f aca="false">IF(B18="Asset",1,-1)*Balance_Sheet!C17*Balance_Sheet!L17*$C18*G$6/10000</f>
        <v>-0</v>
      </c>
      <c r="H18" s="28" t="n">
        <f aca="false">IF(B18="Asset",1,-1)*Balance_Sheet!C17*Balance_Sheet!L17*$C18*H$6/10000</f>
        <v>-0</v>
      </c>
    </row>
    <row r="19" customFormat="false" ht="15" hidden="false" customHeight="false" outlineLevel="0" collapsed="false">
      <c r="A19" s="12" t="str">
        <f aca="false">Balance_Sheet!A18</f>
        <v>Repo &amp; short-term borrowings</v>
      </c>
      <c r="B19" s="12" t="str">
        <f aca="false">Balance_Sheet!B18</f>
        <v>Liability</v>
      </c>
      <c r="C19" s="32" t="n">
        <f aca="false">Balance_Sheet!E18*(Assumptions!$B$8-Assumptions!$B$9)/Assumptions!$B$8+Balance_Sheet!F18*(Assumptions!$B$8-Assumptions!$B$10)/Assumptions!$B$8</f>
        <v>0.875</v>
      </c>
      <c r="D19" s="28" t="n">
        <f aca="false">IF(B19="Asset",1,-1)*Balance_Sheet!C18*Balance_Sheet!L18*$C19*D$6/10000</f>
        <v>1417.5</v>
      </c>
      <c r="E19" s="28" t="n">
        <f aca="false">IF(B19="Asset",1,-1)*Balance_Sheet!C18*Balance_Sheet!L18*$C19*E$6/10000</f>
        <v>708.75</v>
      </c>
      <c r="F19" s="28" t="n">
        <f aca="false">IF(B19="Asset",1,-1)*Balance_Sheet!C18*Balance_Sheet!L18*$C19*F$6/10000</f>
        <v>-0</v>
      </c>
      <c r="G19" s="28" t="n">
        <f aca="false">IF(B19="Asset",1,-1)*Balance_Sheet!C18*Balance_Sheet!L18*$C19*G$6/10000</f>
        <v>-708.75</v>
      </c>
      <c r="H19" s="28" t="n">
        <f aca="false">IF(B19="Asset",1,-1)*Balance_Sheet!C18*Balance_Sheet!L18*$C19*H$6/10000</f>
        <v>-1417.5</v>
      </c>
    </row>
    <row r="20" customFormat="false" ht="15" hidden="false" customHeight="false" outlineLevel="0" collapsed="false">
      <c r="A20" s="12" t="str">
        <f aca="false">Balance_Sheet!A19</f>
        <v>Long-term debt</v>
      </c>
      <c r="B20" s="12" t="str">
        <f aca="false">Balance_Sheet!B19</f>
        <v>Liability</v>
      </c>
      <c r="C20" s="32" t="n">
        <f aca="false">Balance_Sheet!E19*(Assumptions!$B$8-Assumptions!$B$9)/Assumptions!$B$8+Balance_Sheet!F19*(Assumptions!$B$8-Assumptions!$B$10)/Assumptions!$B$8</f>
        <v>0.3</v>
      </c>
      <c r="D20" s="28" t="n">
        <f aca="false">IF(B20="Asset",1,-1)*Balance_Sheet!C19*Balance_Sheet!L19*$C20*D$6/10000</f>
        <v>520.2</v>
      </c>
      <c r="E20" s="28" t="n">
        <f aca="false">IF(B20="Asset",1,-1)*Balance_Sheet!C19*Balance_Sheet!L19*$C20*E$6/10000</f>
        <v>260.1</v>
      </c>
      <c r="F20" s="28" t="n">
        <f aca="false">IF(B20="Asset",1,-1)*Balance_Sheet!C19*Balance_Sheet!L19*$C20*F$6/10000</f>
        <v>-0</v>
      </c>
      <c r="G20" s="28" t="n">
        <f aca="false">IF(B20="Asset",1,-1)*Balance_Sheet!C19*Balance_Sheet!L19*$C20*G$6/10000</f>
        <v>-260.1</v>
      </c>
      <c r="H20" s="28" t="n">
        <f aca="false">IF(B20="Asset",1,-1)*Balance_Sheet!C19*Balance_Sheet!L19*$C20*H$6/10000</f>
        <v>-520.2</v>
      </c>
    </row>
    <row r="22" customFormat="false" ht="15" hidden="false" customHeight="false" outlineLevel="0" collapsed="false">
      <c r="A22" s="17" t="s">
        <v>73</v>
      </c>
      <c r="D22" s="31" t="n">
        <f aca="false">SUM(D7:D20)</f>
        <v>-3016.8875</v>
      </c>
      <c r="E22" s="31" t="n">
        <f aca="false">SUM(E7:E20)</f>
        <v>-1508.44375</v>
      </c>
      <c r="F22" s="31" t="n">
        <f aca="false">SUM(F7:F20)</f>
        <v>0</v>
      </c>
      <c r="G22" s="31" t="n">
        <f aca="false">SUM(G7:G20)</f>
        <v>1508.44375</v>
      </c>
      <c r="H22" s="31" t="n">
        <f aca="false">SUM(H7:H20)</f>
        <v>3016.8875</v>
      </c>
    </row>
    <row r="23" customFormat="false" ht="15" hidden="false" customHeight="false" outlineLevel="0" collapsed="false">
      <c r="A23" s="17" t="s">
        <v>141</v>
      </c>
      <c r="D23" s="14" t="n">
        <f aca="false">Balance_Sheet!$J$23</f>
        <v>50236.91</v>
      </c>
      <c r="E23" s="14" t="n">
        <f aca="false">Balance_Sheet!$J$23</f>
        <v>50236.91</v>
      </c>
      <c r="F23" s="14" t="n">
        <f aca="false">Balance_Sheet!$J$23</f>
        <v>50236.91</v>
      </c>
      <c r="G23" s="14" t="n">
        <f aca="false">Balance_Sheet!$J$23</f>
        <v>50236.91</v>
      </c>
      <c r="H23" s="14" t="n">
        <f aca="false">Balance_Sheet!$J$23</f>
        <v>50236.91</v>
      </c>
    </row>
    <row r="24" customFormat="false" ht="15" hidden="false" customHeight="false" outlineLevel="0" collapsed="false">
      <c r="A24" s="17" t="s">
        <v>72</v>
      </c>
      <c r="D24" s="31" t="n">
        <f aca="false">D23+D22</f>
        <v>47220.0225</v>
      </c>
      <c r="E24" s="31" t="n">
        <f aca="false">E23+E22</f>
        <v>48728.46625</v>
      </c>
      <c r="F24" s="31" t="n">
        <f aca="false">F23+F22</f>
        <v>50236.91</v>
      </c>
      <c r="G24" s="31" t="n">
        <f aca="false">G23+G22</f>
        <v>51745.35375</v>
      </c>
      <c r="H24" s="31" t="n">
        <f aca="false">H23+H22</f>
        <v>53253.7975</v>
      </c>
    </row>
    <row r="25" customFormat="false" ht="15" hidden="false" customHeight="false" outlineLevel="0" collapsed="false">
      <c r="A25" s="17" t="s">
        <v>74</v>
      </c>
      <c r="D25" s="33" t="n">
        <f aca="false">IF(D23=0,0,D22/D23)</f>
        <v>-0.0600532058998056</v>
      </c>
      <c r="E25" s="33" t="n">
        <f aca="false">IF(E23=0,0,E22/E23)</f>
        <v>-0.0300266029499028</v>
      </c>
      <c r="F25" s="33" t="n">
        <f aca="false">IF(F23=0,0,F22/F23)</f>
        <v>0</v>
      </c>
      <c r="G25" s="33" t="n">
        <f aca="false">IF(G23=0,0,G22/G23)</f>
        <v>0.0300266029499028</v>
      </c>
      <c r="H25" s="33" t="n">
        <f aca="false">IF(H23=0,0,H22/H23)</f>
        <v>0.0600532058998056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0" min="6" style="0" width="13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11" t="s">
        <v>104</v>
      </c>
      <c r="B5" s="11" t="s">
        <v>105</v>
      </c>
      <c r="C5" s="11" t="s">
        <v>106</v>
      </c>
      <c r="D5" s="11" t="s">
        <v>144</v>
      </c>
      <c r="E5" s="11" t="s">
        <v>145</v>
      </c>
      <c r="F5" s="11" t="s">
        <v>97</v>
      </c>
      <c r="G5" s="11" t="s">
        <v>98</v>
      </c>
      <c r="H5" s="11" t="s">
        <v>99</v>
      </c>
      <c r="I5" s="11" t="s">
        <v>100</v>
      </c>
      <c r="J5" s="11" t="s">
        <v>101</v>
      </c>
    </row>
    <row r="6" customFormat="false" ht="15" hidden="false" customHeight="false" outlineLevel="0" collapsed="false">
      <c r="A6" s="17" t="s">
        <v>71</v>
      </c>
      <c r="F6" s="13" t="n">
        <f aca="false">Assumptions!B17</f>
        <v>-200</v>
      </c>
      <c r="G6" s="13" t="n">
        <f aca="false">Assumptions!B18</f>
        <v>-100</v>
      </c>
      <c r="H6" s="13" t="n">
        <f aca="false">Assumptions!B19</f>
        <v>0</v>
      </c>
      <c r="I6" s="13" t="n">
        <f aca="false">Assumptions!B20</f>
        <v>100</v>
      </c>
      <c r="J6" s="13" t="n">
        <f aca="false">Assumptions!B21</f>
        <v>200</v>
      </c>
    </row>
    <row r="7" customFormat="false" ht="15" hidden="false" customHeight="false" outlineLevel="0" collapsed="false">
      <c r="A7" s="12" t="str">
        <f aca="false">Balance_Sheet!A6</f>
        <v>Deposits with banks &amp; fed funds sold</v>
      </c>
      <c r="B7" s="12" t="str">
        <f aca="false">Balance_Sheet!B6</f>
        <v>Asset</v>
      </c>
      <c r="C7" s="14" t="n">
        <f aca="false">Balance_Sheet!C6</f>
        <v>246900</v>
      </c>
      <c r="D7" s="34" t="n">
        <f aca="false">Balance_Sheet!K6</f>
        <v>0.1</v>
      </c>
      <c r="E7" s="28" t="n">
        <f aca="false">IF(B7="Asset",1,-1)*C7*D7/100</f>
        <v>246.9</v>
      </c>
      <c r="F7" s="28" t="n">
        <f aca="false">-$E7*F$6/100</f>
        <v>493.8</v>
      </c>
      <c r="G7" s="28" t="n">
        <f aca="false">-$E7*G$6/100</f>
        <v>246.9</v>
      </c>
      <c r="H7" s="28" t="n">
        <f aca="false">-$E7*H$6/100</f>
        <v>-0</v>
      </c>
      <c r="I7" s="28" t="n">
        <f aca="false">-$E7*I$6/100</f>
        <v>-246.9</v>
      </c>
      <c r="J7" s="28" t="n">
        <f aca="false">-$E7*J$6/100</f>
        <v>-493.8</v>
      </c>
    </row>
    <row r="8" customFormat="false" ht="15" hidden="false" customHeight="false" outlineLevel="0" collapsed="false">
      <c r="A8" s="12" t="str">
        <f aca="false">Balance_Sheet!A7</f>
        <v>Investment securities (AFS + HTM)</v>
      </c>
      <c r="B8" s="12" t="str">
        <f aca="false">Balance_Sheet!B7</f>
        <v>Asset</v>
      </c>
      <c r="C8" s="14" t="n">
        <f aca="false">Balance_Sheet!C7</f>
        <v>170900</v>
      </c>
      <c r="D8" s="34" t="n">
        <f aca="false">Balance_Sheet!K7</f>
        <v>4.6</v>
      </c>
      <c r="E8" s="28" t="n">
        <f aca="false">IF(B8="Asset",1,-1)*C8*D8/100</f>
        <v>7861.4</v>
      </c>
      <c r="F8" s="28" t="n">
        <f aca="false">-$E8*F$6/100</f>
        <v>15722.8</v>
      </c>
      <c r="G8" s="28" t="n">
        <f aca="false">-$E8*G$6/100</f>
        <v>7861.4</v>
      </c>
      <c r="H8" s="28" t="n">
        <f aca="false">-$E8*H$6/100</f>
        <v>-0</v>
      </c>
      <c r="I8" s="28" t="n">
        <f aca="false">-$E8*I$6/100</f>
        <v>-7861.4</v>
      </c>
      <c r="J8" s="28" t="n">
        <f aca="false">-$E8*J$6/100</f>
        <v>-15722.8</v>
      </c>
    </row>
    <row r="9" customFormat="false" ht="15" hidden="false" customHeight="false" outlineLevel="0" collapsed="false">
      <c r="A9" s="12" t="str">
        <f aca="false">Balance_Sheet!A8</f>
        <v>Trading assets (interest-earning)</v>
      </c>
      <c r="B9" s="12" t="str">
        <f aca="false">Balance_Sheet!B8</f>
        <v>Asset</v>
      </c>
      <c r="C9" s="14" t="n">
        <f aca="false">Balance_Sheet!C8</f>
        <v>98400</v>
      </c>
      <c r="D9" s="34" t="n">
        <f aca="false">Balance_Sheet!K8</f>
        <v>2.1</v>
      </c>
      <c r="E9" s="28" t="n">
        <f aca="false">IF(B9="Asset",1,-1)*C9*D9/100</f>
        <v>2066.4</v>
      </c>
      <c r="F9" s="28" t="n">
        <f aca="false">-$E9*F$6/100</f>
        <v>4132.8</v>
      </c>
      <c r="G9" s="28" t="n">
        <f aca="false">-$E9*G$6/100</f>
        <v>2066.4</v>
      </c>
      <c r="H9" s="28" t="n">
        <f aca="false">-$E9*H$6/100</f>
        <v>-0</v>
      </c>
      <c r="I9" s="28" t="n">
        <f aca="false">-$E9*I$6/100</f>
        <v>-2066.4</v>
      </c>
      <c r="J9" s="28" t="n">
        <f aca="false">-$E9*J$6/100</f>
        <v>-4132.8</v>
      </c>
    </row>
    <row r="10" customFormat="false" ht="15" hidden="false" customHeight="false" outlineLevel="0" collapsed="false">
      <c r="A10" s="12" t="str">
        <f aca="false">Balance_Sheet!A9</f>
        <v>Credit card loans</v>
      </c>
      <c r="B10" s="12" t="str">
        <f aca="false">Balance_Sheet!B9</f>
        <v>Asset</v>
      </c>
      <c r="C10" s="14" t="n">
        <f aca="false">Balance_Sheet!C9</f>
        <v>138400</v>
      </c>
      <c r="D10" s="34" t="n">
        <f aca="false">Balance_Sheet!K9</f>
        <v>0.9</v>
      </c>
      <c r="E10" s="28" t="n">
        <f aca="false">IF(B10="Asset",1,-1)*C10*D10/100</f>
        <v>1245.6</v>
      </c>
      <c r="F10" s="28" t="n">
        <f aca="false">-$E10*F$6/100</f>
        <v>2491.2</v>
      </c>
      <c r="G10" s="28" t="n">
        <f aca="false">-$E10*G$6/100</f>
        <v>1245.6</v>
      </c>
      <c r="H10" s="28" t="n">
        <f aca="false">-$E10*H$6/100</f>
        <v>-0</v>
      </c>
      <c r="I10" s="28" t="n">
        <f aca="false">-$E10*I$6/100</f>
        <v>-1245.6</v>
      </c>
      <c r="J10" s="28" t="n">
        <f aca="false">-$E10*J$6/100</f>
        <v>-2491.2</v>
      </c>
    </row>
    <row r="11" customFormat="false" ht="15" hidden="false" customHeight="false" outlineLevel="0" collapsed="false">
      <c r="A11" s="12" t="str">
        <f aca="false">Balance_Sheet!A10</f>
        <v>Residential mortgage loans</v>
      </c>
      <c r="B11" s="12" t="str">
        <f aca="false">Balance_Sheet!B10</f>
        <v>Asset</v>
      </c>
      <c r="C11" s="14" t="n">
        <f aca="false">Balance_Sheet!C10</f>
        <v>218600</v>
      </c>
      <c r="D11" s="34" t="n">
        <f aca="false">Balance_Sheet!K10</f>
        <v>5.8</v>
      </c>
      <c r="E11" s="28" t="n">
        <f aca="false">IF(B11="Asset",1,-1)*C11*D11/100</f>
        <v>12678.8</v>
      </c>
      <c r="F11" s="28" t="n">
        <f aca="false">-$E11*F$6/100</f>
        <v>25357.6</v>
      </c>
      <c r="G11" s="28" t="n">
        <f aca="false">-$E11*G$6/100</f>
        <v>12678.8</v>
      </c>
      <c r="H11" s="28" t="n">
        <f aca="false">-$E11*H$6/100</f>
        <v>-0</v>
      </c>
      <c r="I11" s="28" t="n">
        <f aca="false">-$E11*I$6/100</f>
        <v>-12678.8</v>
      </c>
      <c r="J11" s="28" t="n">
        <f aca="false">-$E11*J$6/100</f>
        <v>-25357.6</v>
      </c>
    </row>
    <row r="12" customFormat="false" ht="15" hidden="false" customHeight="false" outlineLevel="0" collapsed="false">
      <c r="A12" s="12" t="str">
        <f aca="false">Balance_Sheet!A11</f>
        <v>Auto loans</v>
      </c>
      <c r="B12" s="12" t="str">
        <f aca="false">Balance_Sheet!B11</f>
        <v>Asset</v>
      </c>
      <c r="C12" s="14" t="n">
        <f aca="false">Balance_Sheet!C11</f>
        <v>64900</v>
      </c>
      <c r="D12" s="34" t="n">
        <f aca="false">Balance_Sheet!K11</f>
        <v>1.7</v>
      </c>
      <c r="E12" s="28" t="n">
        <f aca="false">IF(B12="Asset",1,-1)*C12*D12/100</f>
        <v>1103.3</v>
      </c>
      <c r="F12" s="28" t="n">
        <f aca="false">-$E12*F$6/100</f>
        <v>2206.6</v>
      </c>
      <c r="G12" s="28" t="n">
        <f aca="false">-$E12*G$6/100</f>
        <v>1103.3</v>
      </c>
      <c r="H12" s="28" t="n">
        <f aca="false">-$E12*H$6/100</f>
        <v>-0</v>
      </c>
      <c r="I12" s="28" t="n">
        <f aca="false">-$E12*I$6/100</f>
        <v>-1103.3</v>
      </c>
      <c r="J12" s="28" t="n">
        <f aca="false">-$E12*J$6/100</f>
        <v>-2206.6</v>
      </c>
    </row>
    <row r="13" customFormat="false" ht="15" hidden="false" customHeight="false" outlineLevel="0" collapsed="false">
      <c r="A13" s="12" t="str">
        <f aca="false">Balance_Sheet!A12</f>
        <v>Commercial real estate loans</v>
      </c>
      <c r="B13" s="12" t="str">
        <f aca="false">Balance_Sheet!B12</f>
        <v>Asset</v>
      </c>
      <c r="C13" s="14" t="n">
        <f aca="false">Balance_Sheet!C12</f>
        <v>98200</v>
      </c>
      <c r="D13" s="34" t="n">
        <f aca="false">Balance_Sheet!K12</f>
        <v>1.6</v>
      </c>
      <c r="E13" s="28" t="n">
        <f aca="false">IF(B13="Asset",1,-1)*C13*D13/100</f>
        <v>1571.2</v>
      </c>
      <c r="F13" s="28" t="n">
        <f aca="false">-$E13*F$6/100</f>
        <v>3142.4</v>
      </c>
      <c r="G13" s="28" t="n">
        <f aca="false">-$E13*G$6/100</f>
        <v>1571.2</v>
      </c>
      <c r="H13" s="28" t="n">
        <f aca="false">-$E13*H$6/100</f>
        <v>-0</v>
      </c>
      <c r="I13" s="28" t="n">
        <f aca="false">-$E13*I$6/100</f>
        <v>-1571.2</v>
      </c>
      <c r="J13" s="28" t="n">
        <f aca="false">-$E13*J$6/100</f>
        <v>-3142.4</v>
      </c>
    </row>
    <row r="14" customFormat="false" ht="15" hidden="false" customHeight="false" outlineLevel="0" collapsed="false">
      <c r="A14" s="12" t="str">
        <f aca="false">Balance_Sheet!A13</f>
        <v>Commercial &amp; industrial loans</v>
      </c>
      <c r="B14" s="12" t="str">
        <f aca="false">Balance_Sheet!B13</f>
        <v>Asset</v>
      </c>
      <c r="C14" s="14" t="n">
        <f aca="false">Balance_Sheet!C13</f>
        <v>172500</v>
      </c>
      <c r="D14" s="34" t="n">
        <f aca="false">Balance_Sheet!K13</f>
        <v>0.6</v>
      </c>
      <c r="E14" s="28" t="n">
        <f aca="false">IF(B14="Asset",1,-1)*C14*D14/100</f>
        <v>1035</v>
      </c>
      <c r="F14" s="28" t="n">
        <f aca="false">-$E14*F$6/100</f>
        <v>2070</v>
      </c>
      <c r="G14" s="28" t="n">
        <f aca="false">-$E14*G$6/100</f>
        <v>1035</v>
      </c>
      <c r="H14" s="28" t="n">
        <f aca="false">-$E14*H$6/100</f>
        <v>-0</v>
      </c>
      <c r="I14" s="28" t="n">
        <f aca="false">-$E14*I$6/100</f>
        <v>-1035</v>
      </c>
      <c r="J14" s="28" t="n">
        <f aca="false">-$E14*J$6/100</f>
        <v>-2070</v>
      </c>
    </row>
    <row r="15" customFormat="false" ht="15" hidden="false" customHeight="false" outlineLevel="0" collapsed="false">
      <c r="A15" s="12" t="str">
        <f aca="false">Balance_Sheet!A14</f>
        <v>Other consumer &amp; wholesale loans</v>
      </c>
      <c r="B15" s="12" t="str">
        <f aca="false">Balance_Sheet!B14</f>
        <v>Asset</v>
      </c>
      <c r="C15" s="14" t="n">
        <f aca="false">Balance_Sheet!C14</f>
        <v>49700</v>
      </c>
      <c r="D15" s="34" t="n">
        <f aca="false">Balance_Sheet!K14</f>
        <v>1.4</v>
      </c>
      <c r="E15" s="28" t="n">
        <f aca="false">IF(B15="Asset",1,-1)*C15*D15/100</f>
        <v>695.8</v>
      </c>
      <c r="F15" s="28" t="n">
        <f aca="false">-$E15*F$6/100</f>
        <v>1391.6</v>
      </c>
      <c r="G15" s="28" t="n">
        <f aca="false">-$E15*G$6/100</f>
        <v>695.8</v>
      </c>
      <c r="H15" s="28" t="n">
        <f aca="false">-$E15*H$6/100</f>
        <v>-0</v>
      </c>
      <c r="I15" s="28" t="n">
        <f aca="false">-$E15*I$6/100</f>
        <v>-695.8</v>
      </c>
      <c r="J15" s="28" t="n">
        <f aca="false">-$E15*J$6/100</f>
        <v>-1391.6</v>
      </c>
    </row>
    <row r="16" customFormat="false" ht="15" hidden="false" customHeight="false" outlineLevel="0" collapsed="false">
      <c r="A16" s="12" t="str">
        <f aca="false">Balance_Sheet!A15</f>
        <v>Consumer interest-bearing deposits</v>
      </c>
      <c r="B16" s="12" t="str">
        <f aca="false">Balance_Sheet!B15</f>
        <v>Liability</v>
      </c>
      <c r="C16" s="14" t="n">
        <f aca="false">Balance_Sheet!C15</f>
        <v>402000</v>
      </c>
      <c r="D16" s="34" t="n">
        <f aca="false">Balance_Sheet!K15</f>
        <v>2.8</v>
      </c>
      <c r="E16" s="28" t="n">
        <f aca="false">IF(B16="Asset",1,-1)*C16*D16/100</f>
        <v>-11256</v>
      </c>
      <c r="F16" s="28" t="n">
        <f aca="false">-$E16*F$6/100</f>
        <v>-22512</v>
      </c>
      <c r="G16" s="28" t="n">
        <f aca="false">-$E16*G$6/100</f>
        <v>-11256</v>
      </c>
      <c r="H16" s="28" t="n">
        <f aca="false">-$E16*H$6/100</f>
        <v>0</v>
      </c>
      <c r="I16" s="28" t="n">
        <f aca="false">-$E16*I$6/100</f>
        <v>11256</v>
      </c>
      <c r="J16" s="28" t="n">
        <f aca="false">-$E16*J$6/100</f>
        <v>22512</v>
      </c>
    </row>
    <row r="17" customFormat="false" ht="15" hidden="false" customHeight="false" outlineLevel="0" collapsed="false">
      <c r="A17" s="12" t="str">
        <f aca="false">Balance_Sheet!A16</f>
        <v>Wholesale interest-bearing deposits</v>
      </c>
      <c r="B17" s="12" t="str">
        <f aca="false">Balance_Sheet!B16</f>
        <v>Liability</v>
      </c>
      <c r="C17" s="14" t="n">
        <f aca="false">Balance_Sheet!C16</f>
        <v>338400</v>
      </c>
      <c r="D17" s="34" t="n">
        <f aca="false">Balance_Sheet!K16</f>
        <v>0.6</v>
      </c>
      <c r="E17" s="28" t="n">
        <f aca="false">IF(B17="Asset",1,-1)*C17*D17/100</f>
        <v>-2030.4</v>
      </c>
      <c r="F17" s="28" t="n">
        <f aca="false">-$E17*F$6/100</f>
        <v>-4060.8</v>
      </c>
      <c r="G17" s="28" t="n">
        <f aca="false">-$E17*G$6/100</f>
        <v>-2030.4</v>
      </c>
      <c r="H17" s="28" t="n">
        <f aca="false">-$E17*H$6/100</f>
        <v>0</v>
      </c>
      <c r="I17" s="28" t="n">
        <f aca="false">-$E17*I$6/100</f>
        <v>2030.4</v>
      </c>
      <c r="J17" s="28" t="n">
        <f aca="false">-$E17*J$6/100</f>
        <v>4060.8</v>
      </c>
    </row>
    <row r="18" customFormat="false" ht="15" hidden="false" customHeight="false" outlineLevel="0" collapsed="false">
      <c r="A18" s="12" t="str">
        <f aca="false">Balance_Sheet!A17</f>
        <v>Noninterest-bearing deposits</v>
      </c>
      <c r="B18" s="12" t="str">
        <f aca="false">Balance_Sheet!B17</f>
        <v>Liability</v>
      </c>
      <c r="C18" s="14" t="n">
        <f aca="false">Balance_Sheet!C17</f>
        <v>272000</v>
      </c>
      <c r="D18" s="34" t="n">
        <f aca="false">Balance_Sheet!K17</f>
        <v>3.5</v>
      </c>
      <c r="E18" s="28" t="n">
        <f aca="false">IF(B18="Asset",1,-1)*C18*D18/100</f>
        <v>-9520</v>
      </c>
      <c r="F18" s="28" t="n">
        <f aca="false">-$E18*F$6/100</f>
        <v>-19040</v>
      </c>
      <c r="G18" s="28" t="n">
        <f aca="false">-$E18*G$6/100</f>
        <v>-9520</v>
      </c>
      <c r="H18" s="28" t="n">
        <f aca="false">-$E18*H$6/100</f>
        <v>0</v>
      </c>
      <c r="I18" s="28" t="n">
        <f aca="false">-$E18*I$6/100</f>
        <v>9520</v>
      </c>
      <c r="J18" s="28" t="n">
        <f aca="false">-$E18*J$6/100</f>
        <v>19040</v>
      </c>
    </row>
    <row r="19" customFormat="false" ht="15" hidden="false" customHeight="false" outlineLevel="0" collapsed="false">
      <c r="A19" s="12" t="str">
        <f aca="false">Balance_Sheet!A18</f>
        <v>Repo &amp; short-term borrowings</v>
      </c>
      <c r="B19" s="12" t="str">
        <f aca="false">Balance_Sheet!B18</f>
        <v>Liability</v>
      </c>
      <c r="C19" s="14" t="n">
        <f aca="false">Balance_Sheet!C18</f>
        <v>81000</v>
      </c>
      <c r="D19" s="34" t="n">
        <f aca="false">Balance_Sheet!K18</f>
        <v>0.1</v>
      </c>
      <c r="E19" s="28" t="n">
        <f aca="false">IF(B19="Asset",1,-1)*C19*D19/100</f>
        <v>-81</v>
      </c>
      <c r="F19" s="28" t="n">
        <f aca="false">-$E19*F$6/100</f>
        <v>-162</v>
      </c>
      <c r="G19" s="28" t="n">
        <f aca="false">-$E19*G$6/100</f>
        <v>-81</v>
      </c>
      <c r="H19" s="28" t="n">
        <f aca="false">-$E19*H$6/100</f>
        <v>0</v>
      </c>
      <c r="I19" s="28" t="n">
        <f aca="false">-$E19*I$6/100</f>
        <v>81</v>
      </c>
      <c r="J19" s="28" t="n">
        <f aca="false">-$E19*J$6/100</f>
        <v>162</v>
      </c>
    </row>
    <row r="20" customFormat="false" ht="15" hidden="false" customHeight="false" outlineLevel="0" collapsed="false">
      <c r="A20" s="12" t="str">
        <f aca="false">Balance_Sheet!A19</f>
        <v>Long-term debt</v>
      </c>
      <c r="B20" s="12" t="str">
        <f aca="false">Balance_Sheet!B19</f>
        <v>Liability</v>
      </c>
      <c r="C20" s="14" t="n">
        <f aca="false">Balance_Sheet!C19</f>
        <v>86700</v>
      </c>
      <c r="D20" s="34" t="n">
        <f aca="false">Balance_Sheet!K19</f>
        <v>4.9</v>
      </c>
      <c r="E20" s="28" t="n">
        <f aca="false">IF(B20="Asset",1,-1)*C20*D20/100</f>
        <v>-4248.3</v>
      </c>
      <c r="F20" s="28" t="n">
        <f aca="false">-$E20*F$6/100</f>
        <v>-8496.6</v>
      </c>
      <c r="G20" s="28" t="n">
        <f aca="false">-$E20*G$6/100</f>
        <v>-4248.3</v>
      </c>
      <c r="H20" s="28" t="n">
        <f aca="false">-$E20*H$6/100</f>
        <v>0</v>
      </c>
      <c r="I20" s="28" t="n">
        <f aca="false">-$E20*I$6/100</f>
        <v>4248.3</v>
      </c>
      <c r="J20" s="28" t="n">
        <f aca="false">-$E20*J$6/100</f>
        <v>8496.6</v>
      </c>
    </row>
    <row r="22" customFormat="false" ht="15" hidden="false" customHeight="false" outlineLevel="0" collapsed="false">
      <c r="A22" s="17" t="s">
        <v>76</v>
      </c>
      <c r="F22" s="31" t="n">
        <f aca="false">SUM(F7:F20)</f>
        <v>2737.4</v>
      </c>
      <c r="G22" s="31" t="n">
        <f aca="false">SUM(G7:G20)</f>
        <v>1368.7</v>
      </c>
      <c r="H22" s="31" t="n">
        <f aca="false">SUM(H7:H20)</f>
        <v>0</v>
      </c>
      <c r="I22" s="31" t="n">
        <f aca="false">SUM(I7:I20)</f>
        <v>-1368.7</v>
      </c>
      <c r="J22" s="31" t="n">
        <f aca="false">SUM(J7:J20)</f>
        <v>-2737.4</v>
      </c>
    </row>
    <row r="23" customFormat="false" ht="15" hidden="false" customHeight="false" outlineLevel="0" collapsed="false">
      <c r="A23" s="17" t="s">
        <v>95</v>
      </c>
      <c r="F23" s="14" t="n">
        <f aca="false">Assumptions!$B$13</f>
        <v>110620</v>
      </c>
      <c r="G23" s="14" t="n">
        <f aca="false">Assumptions!$B$13</f>
        <v>110620</v>
      </c>
      <c r="H23" s="14" t="n">
        <f aca="false">Assumptions!$B$13</f>
        <v>110620</v>
      </c>
      <c r="I23" s="14" t="n">
        <f aca="false">Assumptions!$B$13</f>
        <v>110620</v>
      </c>
      <c r="J23" s="14" t="n">
        <f aca="false">Assumptions!$B$13</f>
        <v>110620</v>
      </c>
    </row>
    <row r="24" customFormat="false" ht="15" hidden="false" customHeight="false" outlineLevel="0" collapsed="false">
      <c r="A24" s="17" t="s">
        <v>146</v>
      </c>
      <c r="F24" s="33" t="n">
        <f aca="false">IF(F23=0,0,F22/F23)</f>
        <v>0.0247459772193093</v>
      </c>
      <c r="G24" s="33" t="n">
        <f aca="false">IF(G23=0,0,G22/G23)</f>
        <v>0.0123729886096547</v>
      </c>
      <c r="H24" s="33" t="n">
        <f aca="false">IF(H23=0,0,H22/H23)</f>
        <v>0</v>
      </c>
      <c r="I24" s="33" t="n">
        <f aca="false">IF(I23=0,0,I22/I23)</f>
        <v>-0.0123729886096547</v>
      </c>
      <c r="J24" s="33" t="n">
        <f aca="false">IF(J23=0,0,J22/J23)</f>
        <v>-0.0247459772193093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2026-10-04T07:39:09Z</dcterms:created>
  <dc:creator>openpyxl</dc:creator>
  <dc:description/>
  <dc:language>en-US</dc:language>
  <cp:lastModifiedBy/>
  <dcterms:modified xsi:type="dcterms:W3CDTF">2026-10-04T07:39:09Z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